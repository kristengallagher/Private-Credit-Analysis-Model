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202300"/>
  <mc:AlternateContent xmlns:mc="http://schemas.openxmlformats.org/markup-compatibility/2006">
    <mc:Choice Requires="x15">
      <x15ac:absPath xmlns:x15ac="http://schemas.microsoft.com/office/spreadsheetml/2010/11/ac" url="https://d.docs.live.net/9d431a5d0bab2e1f/Documents/"/>
    </mc:Choice>
  </mc:AlternateContent>
  <xr:revisionPtr revIDLastSave="9" documentId="8_{422E8F44-443E-5747-BD7F-2BD959249F77}" xr6:coauthVersionLast="47" xr6:coauthVersionMax="47" xr10:uidLastSave="{00002920-9563-394D-ACC3-F865CB0ACA14}"/>
  <bookViews>
    <workbookView xWindow="0" yWindow="680" windowWidth="34200" windowHeight="21460" activeTab="3" xr2:uid="{9308A1AF-BDE3-DC40-A9F5-67BD3F5DA4AC}"/>
  </bookViews>
  <sheets>
    <sheet name="NBA CONTRACT LOAN" sheetId="16" r:id="rId1"/>
    <sheet name="Summary" sheetId="13" r:id="rId2"/>
    <sheet name="Guidelines" sheetId="12" r:id="rId3"/>
    <sheet name="Cash Flow" sheetId="8" r:id="rId4"/>
    <sheet name="Schedule" sheetId="6" r:id="rId5"/>
    <sheet name="Sensitivity" sheetId="14" r:id="rId6"/>
    <sheet name="Inputs" sheetId="9" r:id="rId7"/>
    <sheet name="PFS" sheetId="10" r:id="rId8"/>
    <sheet name="Contract" sheetId="7" r:id="rId9"/>
  </sheets>
  <definedNames>
    <definedName name="Amount">Inputs!$D$3</definedName>
    <definedName name="Assets">PFS!$C$31</definedName>
    <definedName name="Cash">#REF!</definedName>
    <definedName name="Cash_Reserve">Inputs!$D$10</definedName>
    <definedName name="Contract_Remain">Contract!$C$23</definedName>
    <definedName name="Contract_Y1">Contract!$C$18</definedName>
    <definedName name="Contract_Y2">Contract!$C$20</definedName>
    <definedName name="Contract_Y3">Contract!$C$21</definedName>
    <definedName name="Contract_Y4">Contract!$C$22</definedName>
    <definedName name="Credit_Score">Inputs!$D$18</definedName>
    <definedName name="Debt_mnth">Inputs!$D$16</definedName>
    <definedName name="DSCR">'Cash Flow'!$G$29</definedName>
    <definedName name="income_mnth">Inputs!$D$15</definedName>
    <definedName name="insurance">Inputs!$D$8</definedName>
    <definedName name="interest_Reserve">Inputs!$D$9</definedName>
    <definedName name="intrest_Reserve">Inputs!$D$9</definedName>
    <definedName name="LenderReturn">Schedule!$F$46</definedName>
    <definedName name="Liabilities">PFS!$F$31</definedName>
    <definedName name="Net_Worth">PFS!#REF!</definedName>
    <definedName name="Orig_Fee">Inputs!$D$6</definedName>
    <definedName name="PMT_Mnth">Inputs!$D$12</definedName>
    <definedName name="Proceeds">Schedule!$K$20</definedName>
    <definedName name="rate">Inputs!$D$4</definedName>
    <definedName name="Salary_Contract">Contract!$C$24</definedName>
    <definedName name="Salary_Remain">Contract!$C$23</definedName>
    <definedName name="Term">Inputs!$D$5</definedName>
    <definedName name="Total_Contract">Contract!$C$24</definedName>
    <definedName name="Upfront">Inputs!$D$11</definedName>
    <definedName name="UW_Fee">Inputs!$D$7</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44" i="6" l="1"/>
  <c r="F45" i="6"/>
  <c r="F12" i="10"/>
  <c r="F35" i="10"/>
  <c r="C14" i="7"/>
  <c r="C13" i="7"/>
  <c r="C12" i="7"/>
  <c r="C11" i="7"/>
  <c r="C19" i="7"/>
  <c r="D15" i="9"/>
  <c r="D14" i="9"/>
  <c r="F5" i="8"/>
  <c r="E5" i="8"/>
  <c r="D5" i="8"/>
  <c r="C5" i="8"/>
  <c r="C7" i="12"/>
  <c r="G4" i="14"/>
  <c r="G25" i="9"/>
  <c r="F32" i="13"/>
  <c r="F27" i="13"/>
  <c r="C24" i="10"/>
  <c r="C29" i="10"/>
  <c r="C23" i="8"/>
  <c r="C8" i="10"/>
  <c r="C20" i="10"/>
  <c r="F19" i="10"/>
  <c r="D10" i="9"/>
  <c r="G5" i="14"/>
  <c r="G6" i="14"/>
  <c r="G7" i="14"/>
  <c r="G8" i="14"/>
  <c r="G9" i="14"/>
  <c r="F5" i="14"/>
  <c r="F6" i="14"/>
  <c r="F7" i="14"/>
  <c r="F8" i="14"/>
  <c r="F9" i="14"/>
  <c r="F4" i="14"/>
  <c r="E5" i="14"/>
  <c r="E6" i="14"/>
  <c r="E7" i="14"/>
  <c r="E8" i="14"/>
  <c r="E9" i="14"/>
  <c r="D5" i="14"/>
  <c r="D6" i="14"/>
  <c r="D7" i="14"/>
  <c r="D8" i="14"/>
  <c r="D9" i="14"/>
  <c r="E4" i="14"/>
  <c r="D4" i="14"/>
  <c r="C9" i="14"/>
  <c r="C5" i="14"/>
  <c r="C6" i="14"/>
  <c r="C7" i="14"/>
  <c r="C8" i="14"/>
  <c r="C4" i="14"/>
  <c r="K4" i="6"/>
  <c r="K3" i="6"/>
  <c r="K8" i="6"/>
  <c r="D12" i="9"/>
  <c r="E18" i="8"/>
  <c r="F18" i="8"/>
  <c r="C19" i="8"/>
  <c r="D19" i="8"/>
  <c r="E19" i="8"/>
  <c r="F19" i="8"/>
  <c r="C20" i="8"/>
  <c r="D20" i="8"/>
  <c r="E20" i="8"/>
  <c r="F20" i="8"/>
  <c r="C21" i="8"/>
  <c r="D21" i="8"/>
  <c r="E21" i="8"/>
  <c r="F21" i="8"/>
  <c r="C22" i="8"/>
  <c r="D22" i="8"/>
  <c r="E22" i="8"/>
  <c r="F22" i="8"/>
  <c r="D23" i="8"/>
  <c r="E23" i="8"/>
  <c r="F23" i="8"/>
  <c r="C24" i="8"/>
  <c r="D24" i="8"/>
  <c r="E24" i="8"/>
  <c r="F24" i="8"/>
  <c r="G25" i="8"/>
  <c r="E23" i="7"/>
  <c r="K21" i="6"/>
  <c r="K7" i="6"/>
  <c r="K16" i="6"/>
  <c r="D6" i="9"/>
  <c r="D7" i="9"/>
  <c r="F5" i="6"/>
  <c r="F6" i="6"/>
  <c r="F7" i="6"/>
  <c r="F8" i="6"/>
  <c r="F9" i="6"/>
  <c r="F10" i="6"/>
  <c r="F11" i="6"/>
  <c r="F12" i="6"/>
  <c r="F13" i="6"/>
  <c r="F14" i="6"/>
  <c r="F15" i="6"/>
  <c r="G16" i="6"/>
  <c r="G23" i="9"/>
  <c r="E19" i="7"/>
  <c r="C23" i="7"/>
  <c r="F6" i="10"/>
  <c r="G27" i="9"/>
  <c r="G24" i="9"/>
  <c r="G17" i="6"/>
  <c r="G18" i="6"/>
  <c r="G19" i="6"/>
  <c r="G20" i="6"/>
  <c r="G21" i="6"/>
  <c r="G22" i="6"/>
  <c r="G23" i="6"/>
  <c r="G24" i="6"/>
  <c r="G25" i="6"/>
  <c r="G26" i="6"/>
  <c r="G27" i="6"/>
  <c r="G28" i="6"/>
  <c r="G29" i="6"/>
  <c r="G30" i="6"/>
  <c r="G31" i="6"/>
  <c r="G32" i="6"/>
  <c r="G33" i="6"/>
  <c r="G34" i="6"/>
  <c r="G35" i="6"/>
  <c r="G36" i="6"/>
  <c r="G37" i="6"/>
  <c r="G38" i="6"/>
  <c r="G39" i="6"/>
  <c r="D4" i="6"/>
  <c r="B5" i="6"/>
  <c r="C5" i="6"/>
  <c r="F46" i="6" l="1"/>
  <c r="F31" i="10"/>
  <c r="F42" i="6"/>
  <c r="F39" i="10"/>
  <c r="C9" i="12"/>
  <c r="G19" i="8"/>
  <c r="K22" i="6"/>
  <c r="G21" i="8"/>
  <c r="G18" i="8"/>
  <c r="G20" i="8"/>
  <c r="E26" i="8"/>
  <c r="F26" i="8"/>
  <c r="D11" i="9"/>
  <c r="G3" i="12"/>
  <c r="C24" i="7"/>
  <c r="K6" i="6"/>
  <c r="C4" i="12"/>
  <c r="K11" i="6"/>
  <c r="D13" i="9"/>
  <c r="K5" i="6"/>
  <c r="K17" i="6"/>
  <c r="K9" i="6"/>
  <c r="C26" i="8"/>
  <c r="G24" i="8"/>
  <c r="K12" i="6"/>
  <c r="G22" i="8"/>
  <c r="G23" i="8"/>
  <c r="D26" i="8"/>
  <c r="D16" i="9" s="1"/>
  <c r="C12" i="12" s="1"/>
  <c r="D17" i="9"/>
  <c r="C11" i="10"/>
  <c r="C13" i="10" s="1"/>
  <c r="C31" i="10" s="1"/>
  <c r="K18" i="6"/>
  <c r="F4" i="6"/>
  <c r="E24" i="7"/>
  <c r="D8" i="8"/>
  <c r="E6" i="8"/>
  <c r="D6" i="8"/>
  <c r="E8" i="8"/>
  <c r="C6" i="6"/>
  <c r="C7" i="6" s="1"/>
  <c r="B6" i="6"/>
  <c r="F32" i="10" l="1"/>
  <c r="K10" i="6"/>
  <c r="G26" i="8"/>
  <c r="C8" i="8"/>
  <c r="C6" i="8"/>
  <c r="E9" i="8"/>
  <c r="D9" i="8"/>
  <c r="D11" i="8" s="1"/>
  <c r="C8" i="6"/>
  <c r="C9" i="6" s="1"/>
  <c r="C10" i="6" s="1"/>
  <c r="C11" i="6" s="1"/>
  <c r="C12" i="6" s="1"/>
  <c r="C13" i="6" s="1"/>
  <c r="B7" i="6"/>
  <c r="B8" i="6" s="1"/>
  <c r="B9" i="6" s="1"/>
  <c r="G10" i="12" l="1"/>
  <c r="C5" i="12"/>
  <c r="D13" i="8"/>
  <c r="C9" i="8"/>
  <c r="E11" i="8"/>
  <c r="C14" i="6"/>
  <c r="C15" i="6" s="1"/>
  <c r="C16" i="6" s="1"/>
  <c r="C17" i="6" s="1"/>
  <c r="C18" i="6" s="1"/>
  <c r="C19" i="6" s="1"/>
  <c r="C20" i="6" s="1"/>
  <c r="C21" i="6" s="1"/>
  <c r="C22" i="6" s="1"/>
  <c r="C23" i="6" s="1"/>
  <c r="C24" i="6" s="1"/>
  <c r="C25" i="6" s="1"/>
  <c r="C26" i="6" s="1"/>
  <c r="C27" i="6" s="1"/>
  <c r="C28" i="6" s="1"/>
  <c r="C29" i="6" s="1"/>
  <c r="C30" i="6" s="1"/>
  <c r="C31" i="6" s="1"/>
  <c r="C32" i="6" s="1"/>
  <c r="C33" i="6" s="1"/>
  <c r="C34" i="6" s="1"/>
  <c r="C35" i="6" s="1"/>
  <c r="C36" i="6" s="1"/>
  <c r="C37" i="6" s="1"/>
  <c r="C38" i="6" s="1"/>
  <c r="C39" i="6" s="1"/>
  <c r="B10" i="6"/>
  <c r="B11" i="6" s="1"/>
  <c r="B12" i="6" s="1"/>
  <c r="B13" i="6" s="1"/>
  <c r="B14" i="6" s="1"/>
  <c r="B15" i="6" s="1"/>
  <c r="B16" i="6" s="1"/>
  <c r="B17" i="6" s="1"/>
  <c r="B18" i="6" s="1"/>
  <c r="B19" i="6" s="1"/>
  <c r="D15" i="8" l="1"/>
  <c r="C6" i="12" s="1"/>
  <c r="C11" i="8"/>
  <c r="E13" i="8"/>
  <c r="E15" i="8" s="1"/>
  <c r="B20" i="6"/>
  <c r="B21" i="6" s="1"/>
  <c r="B22" i="6" s="1"/>
  <c r="B23" i="6" s="1"/>
  <c r="B24" i="6" s="1"/>
  <c r="B25" i="6" s="1"/>
  <c r="B26" i="6" s="1"/>
  <c r="B27" i="6" s="1"/>
  <c r="B28" i="6" s="1"/>
  <c r="B29" i="6" s="1"/>
  <c r="B30" i="6" s="1"/>
  <c r="B31" i="6" s="1"/>
  <c r="B32" i="6" s="1"/>
  <c r="B33" i="6" s="1"/>
  <c r="B34" i="6" s="1"/>
  <c r="B35" i="6" s="1"/>
  <c r="B36" i="6" s="1"/>
  <c r="B37" i="6" s="1"/>
  <c r="B38" i="6" s="1"/>
  <c r="B39" i="6" s="1"/>
  <c r="D28" i="8" l="1"/>
  <c r="D29" i="8"/>
  <c r="C13" i="8"/>
  <c r="E28" i="8"/>
  <c r="E29" i="8"/>
  <c r="C15" i="8" l="1"/>
  <c r="C29" i="8" l="1"/>
  <c r="C28" i="8"/>
  <c r="C10" i="12" l="1"/>
  <c r="C11" i="12"/>
  <c r="G5" i="8" l="1"/>
  <c r="F6" i="8"/>
  <c r="F8" i="8"/>
  <c r="G8" i="8" s="1"/>
  <c r="F9" i="8" l="1"/>
  <c r="G9" i="8" s="1"/>
  <c r="G6" i="8"/>
  <c r="F11" i="8" l="1"/>
  <c r="F13" i="8" l="1"/>
  <c r="G11" i="8"/>
  <c r="G13" i="8" l="1"/>
  <c r="F15" i="8"/>
  <c r="E15" i="14" l="1"/>
  <c r="G20" i="14"/>
  <c r="F15" i="14"/>
  <c r="G15" i="14"/>
  <c r="D18" i="14"/>
  <c r="D19" i="14"/>
  <c r="D20" i="14"/>
  <c r="C15" i="14"/>
  <c r="C16" i="14"/>
  <c r="C17" i="14"/>
  <c r="C18" i="14"/>
  <c r="C19" i="14"/>
  <c r="C20" i="14"/>
  <c r="G17" i="14"/>
  <c r="G18" i="14"/>
  <c r="G19" i="14"/>
  <c r="F16" i="14"/>
  <c r="F17" i="14"/>
  <c r="F19" i="14"/>
  <c r="F20" i="14"/>
  <c r="E16" i="14"/>
  <c r="E18" i="14"/>
  <c r="E20" i="14"/>
  <c r="D16" i="14"/>
  <c r="G16" i="14"/>
  <c r="F18" i="14"/>
  <c r="E17" i="14"/>
  <c r="E19" i="14"/>
  <c r="D15" i="14"/>
  <c r="D17" i="14"/>
  <c r="F29" i="8"/>
  <c r="F28" i="8"/>
  <c r="G28" i="8" s="1"/>
  <c r="C8" i="12" s="1"/>
  <c r="G15" i="8"/>
  <c r="G29" i="8" s="1"/>
  <c r="G4" i="12" s="1"/>
  <c r="C3" i="12" l="1"/>
  <c r="H4" i="6"/>
  <c r="D5" i="6" s="1"/>
  <c r="H5" i="6" s="1"/>
  <c r="D6" i="6" s="1"/>
  <c r="H6" i="6" s="1"/>
  <c r="D7" i="6" s="1"/>
  <c r="K13" i="6" l="1"/>
  <c r="H7" i="6" l="1"/>
  <c r="D8" i="6" s="1"/>
  <c r="H8" i="6" l="1"/>
  <c r="D9" i="6" s="1"/>
  <c r="H9" i="6" l="1"/>
  <c r="D10" i="6" s="1"/>
  <c r="H10" i="6" l="1"/>
  <c r="D11" i="6" s="1"/>
  <c r="H11" i="6" l="1"/>
  <c r="D12" i="6" s="1"/>
  <c r="H12" i="6" l="1"/>
  <c r="D13" i="6" s="1"/>
  <c r="H13" i="6" l="1"/>
  <c r="D14" i="6" s="1"/>
  <c r="H14" i="6" l="1"/>
  <c r="D15" i="6" s="1"/>
  <c r="H15" i="6" l="1"/>
  <c r="D16" i="6" s="1"/>
  <c r="E16" i="6" l="1"/>
  <c r="F16" i="6" l="1"/>
  <c r="H16" i="6" l="1"/>
  <c r="D17" i="6" s="1"/>
  <c r="E17" i="6" l="1"/>
  <c r="F17" i="6" l="1"/>
  <c r="H17" i="6" l="1"/>
  <c r="D18" i="6" s="1"/>
  <c r="E18" i="6" l="1"/>
  <c r="F18" i="6" l="1"/>
  <c r="H18" i="6"/>
  <c r="D19" i="6" s="1"/>
  <c r="E19" i="6" s="1"/>
  <c r="F19" i="6" l="1"/>
  <c r="H19" i="6"/>
  <c r="D20" i="6" s="1"/>
  <c r="E20" i="6" l="1"/>
  <c r="F20" i="6" s="1"/>
  <c r="H20" i="6" l="1"/>
  <c r="D21" i="6" s="1"/>
  <c r="E21" i="6" l="1"/>
  <c r="F21" i="6" s="1"/>
  <c r="H21" i="6" l="1"/>
  <c r="D22" i="6" s="1"/>
  <c r="E22" i="6" l="1"/>
  <c r="F22" i="6" s="1"/>
  <c r="H22" i="6"/>
  <c r="D23" i="6" s="1"/>
  <c r="E23" i="6" s="1"/>
  <c r="F23" i="6" s="1"/>
  <c r="H23" i="6" s="1"/>
  <c r="D24" i="6" s="1"/>
  <c r="E24" i="6" s="1"/>
  <c r="F24" i="6" s="1"/>
  <c r="H24" i="6" s="1"/>
  <c r="D25" i="6" s="1"/>
  <c r="E25" i="6" l="1"/>
  <c r="F25" i="6" s="1"/>
  <c r="H25" i="6" l="1"/>
  <c r="D26" i="6" s="1"/>
  <c r="E26" i="6" l="1"/>
  <c r="F26" i="6" s="1"/>
  <c r="H26" i="6" l="1"/>
  <c r="D27" i="6" s="1"/>
  <c r="E27" i="6" l="1"/>
  <c r="F27" i="6" s="1"/>
  <c r="H27" i="6" l="1"/>
  <c r="D28" i="6" s="1"/>
  <c r="E28" i="6" s="1"/>
  <c r="F28" i="6" s="1"/>
  <c r="H28" i="6" l="1"/>
  <c r="D29" i="6" s="1"/>
  <c r="E29" i="6" s="1"/>
  <c r="F29" i="6" s="1"/>
  <c r="H29" i="6" s="1"/>
  <c r="D30" i="6" s="1"/>
  <c r="E30" i="6" l="1"/>
  <c r="F30" i="6" s="1"/>
  <c r="H30" i="6" l="1"/>
  <c r="D31" i="6" s="1"/>
  <c r="E31" i="6" l="1"/>
  <c r="F31" i="6" s="1"/>
  <c r="H31" i="6" l="1"/>
  <c r="D32" i="6" s="1"/>
  <c r="E32" i="6" l="1"/>
  <c r="F32" i="6" s="1"/>
  <c r="H32" i="6"/>
  <c r="D33" i="6" s="1"/>
  <c r="E33" i="6" l="1"/>
  <c r="F33" i="6" s="1"/>
  <c r="H33" i="6" l="1"/>
  <c r="D34" i="6" s="1"/>
  <c r="E34" i="6" l="1"/>
  <c r="F34" i="6" s="1"/>
  <c r="H34" i="6" l="1"/>
  <c r="D35" i="6" s="1"/>
  <c r="E35" i="6" l="1"/>
  <c r="F35" i="6" s="1"/>
  <c r="H35" i="6" s="1"/>
  <c r="D36" i="6" s="1"/>
  <c r="E36" i="6" l="1"/>
  <c r="F36" i="6" l="1"/>
  <c r="H36" i="6" s="1"/>
  <c r="D37" i="6" s="1"/>
  <c r="E37" i="6" l="1"/>
  <c r="F37" i="6" l="1"/>
  <c r="H37" i="6" s="1"/>
  <c r="D38" i="6" s="1"/>
  <c r="E38" i="6" l="1"/>
  <c r="F38" i="6" l="1"/>
  <c r="H38" i="6" s="1"/>
  <c r="D39" i="6" s="1"/>
  <c r="E39" i="6" l="1"/>
  <c r="F39" i="6" l="1"/>
  <c r="F43" i="6" s="1"/>
  <c r="H39" i="6"/>
</calcChain>
</file>

<file path=xl/sharedStrings.xml><?xml version="1.0" encoding="utf-8"?>
<sst xmlns="http://schemas.openxmlformats.org/spreadsheetml/2006/main" count="330" uniqueCount="265">
  <si>
    <t>Lender Origination Fee (Est)</t>
  </si>
  <si>
    <t>Underwriting Fee (Est)</t>
  </si>
  <si>
    <t>Legal/Closing Costs (Est)</t>
  </si>
  <si>
    <t>Date</t>
  </si>
  <si>
    <t>Interest</t>
  </si>
  <si>
    <t>Principal</t>
  </si>
  <si>
    <t>Rental Income</t>
  </si>
  <si>
    <t>Interest Income</t>
  </si>
  <si>
    <t>Dividend Income</t>
  </si>
  <si>
    <t>Living Expenses (Est @ 10% of income)</t>
  </si>
  <si>
    <t>Salary (Professional Contract)</t>
  </si>
  <si>
    <t>TOTAL ASSETS</t>
  </si>
  <si>
    <t>TOTAL LIABILITIES</t>
  </si>
  <si>
    <t>NET WORTH</t>
  </si>
  <si>
    <t>Loan Balance</t>
  </si>
  <si>
    <t>PMT</t>
  </si>
  <si>
    <t>Maturity</t>
  </si>
  <si>
    <t>Rate</t>
  </si>
  <si>
    <t>Investment Property Address </t>
  </si>
  <si>
    <t>N/A</t>
  </si>
  <si>
    <t xml:space="preserve">Interest </t>
  </si>
  <si>
    <t>36 Months</t>
  </si>
  <si>
    <t>Term (Months)</t>
  </si>
  <si>
    <t>Annual Debt service</t>
  </si>
  <si>
    <t>DSCR</t>
  </si>
  <si>
    <t>Interest Reserve  (est)</t>
  </si>
  <si>
    <t xml:space="preserve">Total Upfront </t>
  </si>
  <si>
    <t>Underwriting Fee (3%)</t>
  </si>
  <si>
    <t>Origination Fee (1%)</t>
  </si>
  <si>
    <t>End Balance</t>
  </si>
  <si>
    <t>Beg Balance</t>
  </si>
  <si>
    <t>Total Payments</t>
  </si>
  <si>
    <t>Total Principal Paid</t>
  </si>
  <si>
    <t>PMT #</t>
  </si>
  <si>
    <t>Total PMT</t>
  </si>
  <si>
    <t>Total Interest Accumulated</t>
  </si>
  <si>
    <t>Total Cost of Loan</t>
  </si>
  <si>
    <t>Cash Reserve (Depository Acct) 10% of outstanding balance</t>
  </si>
  <si>
    <t xml:space="preserve">Gross Loan Amount </t>
  </si>
  <si>
    <t xml:space="preserve">Monthly PMT </t>
  </si>
  <si>
    <t xml:space="preserve">NBA Season </t>
  </si>
  <si>
    <t xml:space="preserve">Base Salary </t>
  </si>
  <si>
    <t xml:space="preserve">Signing Bonus </t>
  </si>
  <si>
    <t xml:space="preserve">Total </t>
  </si>
  <si>
    <t>2023-24</t>
  </si>
  <si>
    <t xml:space="preserve">Received </t>
  </si>
  <si>
    <t>2024-25</t>
  </si>
  <si>
    <t>2025-26</t>
  </si>
  <si>
    <t>2026-27</t>
  </si>
  <si>
    <t xml:space="preserve">Remaining </t>
  </si>
  <si>
    <t xml:space="preserve">Totals  </t>
  </si>
  <si>
    <t xml:space="preserve"> </t>
  </si>
  <si>
    <t>Net Cash Flow</t>
  </si>
  <si>
    <t>Personal Cash Flow Analysis</t>
  </si>
  <si>
    <t>Escrow (10%)</t>
  </si>
  <si>
    <t>Less:</t>
  </si>
  <si>
    <t>AVAILABLE FOR DEBT </t>
  </si>
  <si>
    <t>Federal/Other Taxes (Est @ 35%)</t>
  </si>
  <si>
    <t>Credit Cards</t>
  </si>
  <si>
    <t>TOTAL DEBT </t>
  </si>
  <si>
    <t>DEBT SERVICE RATIO</t>
  </si>
  <si>
    <t>NET CASH FLOW</t>
  </si>
  <si>
    <t>Pro Forma</t>
  </si>
  <si>
    <t>GROSS CASH FLOW</t>
  </si>
  <si>
    <t>Totals</t>
  </si>
  <si>
    <t>Assets</t>
  </si>
  <si>
    <t>Real Estate</t>
  </si>
  <si>
    <t>Automobiles, Boats &amp; Vessels</t>
  </si>
  <si>
    <t>Automobile</t>
  </si>
  <si>
    <t>Various Partnerships</t>
  </si>
  <si>
    <t>Proposed Guaranteed Contract Loan </t>
  </si>
  <si>
    <t>Mortgage Debt</t>
  </si>
  <si>
    <t xml:space="preserve">Personal Financial Statement </t>
  </si>
  <si>
    <t>Credit Cards (Amex)</t>
  </si>
  <si>
    <t>Cash &amp; Cash Equivalents</t>
  </si>
  <si>
    <t>Interest Reserve (est)</t>
  </si>
  <si>
    <t>Death &amp; Disgrace Insurance (est)</t>
  </si>
  <si>
    <t>Prepayment Penalty</t>
  </si>
  <si>
    <t>None</t>
  </si>
  <si>
    <t>Collateral</t>
  </si>
  <si>
    <t>Guarantor(s)</t>
  </si>
  <si>
    <t>NBA Guaranteed Contract Loan</t>
  </si>
  <si>
    <t>Loan Type</t>
  </si>
  <si>
    <t>Borrower</t>
  </si>
  <si>
    <t>Proposed Commitment</t>
  </si>
  <si>
    <t>Interest Rate</t>
  </si>
  <si>
    <t>Proposed Facility Terms &amp; Conditions</t>
  </si>
  <si>
    <t>Provided</t>
  </si>
  <si>
    <t>Full Recourse</t>
  </si>
  <si>
    <t>Maximum LTC</t>
  </si>
  <si>
    <t>Minimum Cash Equity</t>
  </si>
  <si>
    <t>Maximum Term</t>
  </si>
  <si>
    <t>Direct Deposit</t>
  </si>
  <si>
    <t>Guidelines</t>
  </si>
  <si>
    <t>24 Months</t>
  </si>
  <si>
    <t>Required</t>
  </si>
  <si>
    <t>In Compliance Y/N</t>
  </si>
  <si>
    <t>Yes</t>
  </si>
  <si>
    <t>Marketable Securities</t>
  </si>
  <si>
    <t>Cash on Hand</t>
  </si>
  <si>
    <t>7 &amp; 15 South Street, Los Angeles, CA</t>
  </si>
  <si>
    <t>Origination Date</t>
  </si>
  <si>
    <t>08/31/2023 </t>
  </si>
  <si>
    <t>5/20/2021 </t>
  </si>
  <si>
    <t>Liabilities</t>
  </si>
  <si>
    <t>DTA</t>
  </si>
  <si>
    <t>Credit Score</t>
  </si>
  <si>
    <t>DTI</t>
  </si>
  <si>
    <t>Term</t>
  </si>
  <si>
    <t>Annual Income</t>
  </si>
  <si>
    <t>Summary</t>
  </si>
  <si>
    <t>Player A</t>
  </si>
  <si>
    <t>Monthly Income</t>
  </si>
  <si>
    <t>Monthly Debt (Total)</t>
  </si>
  <si>
    <t>PERSONAL RESIDENCE, REAL ESTATE INVESTMENTS, &amp; MORTGAGE DEBT</t>
  </si>
  <si>
    <t>Contract Value</t>
  </si>
  <si>
    <t>Player:</t>
  </si>
  <si>
    <t>Team:</t>
  </si>
  <si>
    <t>Date:</t>
  </si>
  <si>
    <t>Season</t>
  </si>
  <si>
    <r>
      <t xml:space="preserve">Current Base </t>
    </r>
    <r>
      <rPr>
        <u/>
        <sz val="12"/>
        <color theme="1"/>
        <rFont val="Times New Roman"/>
        <family val="1"/>
      </rPr>
      <t>Compensation</t>
    </r>
  </si>
  <si>
    <t>2023 - 24</t>
  </si>
  <si>
    <t>2024 - 25</t>
  </si>
  <si>
    <t>2025 - 26</t>
  </si>
  <si>
    <t>2026 - 27</t>
  </si>
  <si>
    <t>UNIFORM PLAYER CONTRACT</t>
  </si>
  <si>
    <t>Exhibit 1 - Compensation</t>
  </si>
  <si>
    <t>Death &amp; Disgrace Insurance (Est)</t>
  </si>
  <si>
    <t>Net to be Disbursed to Borrower (Est)</t>
  </si>
  <si>
    <t xml:space="preserve">To be disbursed to Borrower (Est) </t>
  </si>
  <si>
    <t>Cash Reserve (Depository) 10% of Outstanding Balance</t>
  </si>
  <si>
    <t>Cash Flow from NBA Contract</t>
  </si>
  <si>
    <t>INPUTS</t>
  </si>
  <si>
    <t>Capacity</t>
  </si>
  <si>
    <t>Conditions</t>
  </si>
  <si>
    <t>DTI Pro Forma</t>
  </si>
  <si>
    <t>Lender Return</t>
  </si>
  <si>
    <t>Estimated Guaranteed Contract Loan (@ 13%)</t>
  </si>
  <si>
    <r>
      <t xml:space="preserve">Monthly PMT </t>
    </r>
    <r>
      <rPr>
        <i/>
        <sz val="10"/>
        <color theme="1"/>
        <rFont val="Times New Roman"/>
        <family val="1"/>
      </rPr>
      <t>(Defered 12 months)</t>
    </r>
  </si>
  <si>
    <t>Character</t>
  </si>
  <si>
    <t>Rate \ Term</t>
  </si>
  <si>
    <t>24 Mo</t>
  </si>
  <si>
    <t>30 Mo</t>
  </si>
  <si>
    <t>36 Mo</t>
  </si>
  <si>
    <t>42 Mo</t>
  </si>
  <si>
    <t>48 Mo</t>
  </si>
  <si>
    <t>Prepared by:</t>
  </si>
  <si>
    <t>Kristen Gallagher</t>
  </si>
  <si>
    <t>Purpose of Proposed Facility</t>
  </si>
  <si>
    <t>Contract advance; Invest in franchises</t>
  </si>
  <si>
    <t>Enforcement of full Guarantee provided by Borrower</t>
  </si>
  <si>
    <t>Primary Repayment Source</t>
  </si>
  <si>
    <t xml:space="preserve">November 1, 2027 Coterminous with the NBA Contract for the 2024-2027 seasons </t>
  </si>
  <si>
    <t>Proposed Maturity</t>
  </si>
  <si>
    <t>Death, Dishonor, &amp; Disgrace insurance provided through Insurer A</t>
  </si>
  <si>
    <t>Inputs</t>
  </si>
  <si>
    <t>Ratio</t>
  </si>
  <si>
    <t>Minimum Average DSCR</t>
  </si>
  <si>
    <t>Collateral Coverage</t>
  </si>
  <si>
    <t>Liquidity (Months)</t>
  </si>
  <si>
    <t>Interest Coverage</t>
  </si>
  <si>
    <t xml:space="preserve">LTCg (LTV) </t>
  </si>
  <si>
    <t>Maximum Amortization</t>
  </si>
  <si>
    <t>Personal Guarantee</t>
  </si>
  <si>
    <t>ABC Team</t>
  </si>
  <si>
    <t>Maximum DTA</t>
  </si>
  <si>
    <t>Balloon at Maturity</t>
  </si>
  <si>
    <t>Automobile (Adjusted for Depreciation)</t>
  </si>
  <si>
    <t>$10.25M Loan Amortization Schedule</t>
  </si>
  <si>
    <t>CREDIT MEMORANDUM</t>
  </si>
  <si>
    <t>Protections (A)</t>
  </si>
  <si>
    <t>Protections (B)</t>
  </si>
  <si>
    <t>Sensitivity Analysis - Total Interest Earned</t>
  </si>
  <si>
    <t xml:space="preserve">Personal Residence Address </t>
  </si>
  <si>
    <t>Pierce Advisors (@10%)</t>
  </si>
  <si>
    <t>Origination Fee</t>
  </si>
  <si>
    <t>Underwriting Fee</t>
  </si>
  <si>
    <t>Load Proceeds:</t>
  </si>
  <si>
    <t>* Term includes 12-month deferral period. Interest calculated on active payment months only (term minus 12). Current deal highlighted.</t>
  </si>
  <si>
    <t>*DSCR based on minimum annual net income available for debt service (2026-27 season). Minimum guideline: 2.50x. Current deal highlighted.</t>
  </si>
  <si>
    <t>Mortgage (123 Brookstone Manor, NY)</t>
  </si>
  <si>
    <t>Mortgage (709 Palmview Drive, FL)</t>
  </si>
  <si>
    <t>709 Palmview Drive, Miami, FL</t>
  </si>
  <si>
    <t>123 Brookstone Manor, New York, NY</t>
  </si>
  <si>
    <t>Mortgage (7 &amp; 15 South Street, CA)</t>
  </si>
  <si>
    <t>Total Cash &amp; Cash Equivalents</t>
  </si>
  <si>
    <t>Total Real Estate</t>
  </si>
  <si>
    <t>Total Personal Property</t>
  </si>
  <si>
    <t>Total Mortgage Debt</t>
  </si>
  <si>
    <t>Contract &amp; Investment Assets</t>
  </si>
  <si>
    <t>Total Contract &amp; Investment Assets</t>
  </si>
  <si>
    <t>Personal Property</t>
  </si>
  <si>
    <t>Total Automobiles, Boats &amp; Vessels</t>
  </si>
  <si>
    <t>33276 Queens Colony, Bethesda, MD</t>
  </si>
  <si>
    <t>709 Palmview Dr, Miami FL</t>
  </si>
  <si>
    <t>123 Brookstone Manor, NY</t>
  </si>
  <si>
    <t>Guaranteed NBA Contract (Remaining)</t>
  </si>
  <si>
    <t>Installment &amp; Personal Debt</t>
  </si>
  <si>
    <t>Total Installment &amp; Personal Debt</t>
  </si>
  <si>
    <t>Proposed Debt</t>
  </si>
  <si>
    <t>ANNUAL INCOME SUMMARY (Supplemental)</t>
  </si>
  <si>
    <t>Total Annual Income</t>
  </si>
  <si>
    <t>NBA Contract Income</t>
  </si>
  <si>
    <t>Auto (KG Financial)</t>
  </si>
  <si>
    <t>Artwork</t>
  </si>
  <si>
    <t>Watch Collection/Jewelry</t>
  </si>
  <si>
    <t>Pierce Advisors</t>
  </si>
  <si>
    <t>Pro Forma - Player</t>
  </si>
  <si>
    <t>*Sample deal for demonstration purposes only. All data is fictional.</t>
  </si>
  <si>
    <t>Capital</t>
  </si>
  <si>
    <r>
      <t xml:space="preserve">Deferred Base </t>
    </r>
    <r>
      <rPr>
        <u/>
        <sz val="12"/>
        <color theme="1"/>
        <rFont val="Times New Roman"/>
        <family val="1"/>
      </rPr>
      <t>Compensation</t>
    </r>
  </si>
  <si>
    <t>Recommendation</t>
  </si>
  <si>
    <t>Interest Reserve</t>
  </si>
  <si>
    <t>Approved</t>
  </si>
  <si>
    <t>Mortgage (33276 Queens Colony, MD)</t>
  </si>
  <si>
    <r>
      <t>Remaining NBA Contract ($</t>
    </r>
    <r>
      <rPr>
        <sz val="10"/>
        <color theme="1"/>
        <rFont val="Times New Roman"/>
        <family val="1"/>
      </rPr>
      <t>86,932,818)</t>
    </r>
  </si>
  <si>
    <r>
      <t xml:space="preserve">Amortization Schedule    </t>
    </r>
    <r>
      <rPr>
        <sz val="10"/>
        <color theme="1"/>
        <rFont val="Times New Roman"/>
        <family val="1"/>
      </rPr>
      <t>(Reference Schedule Tab)</t>
    </r>
  </si>
  <si>
    <r>
      <rPr>
        <b/>
        <sz val="10"/>
        <color theme="1"/>
        <rFont val="Times New Roman"/>
        <family val="1"/>
      </rPr>
      <t>Year 2024:</t>
    </r>
    <r>
      <rPr>
        <sz val="10"/>
        <color theme="1"/>
        <rFont val="Times New Roman"/>
        <family val="1"/>
      </rPr>
      <t xml:space="preserve"> No payments, interest reserve cover through November 1, 2025.                                       </t>
    </r>
    <r>
      <rPr>
        <b/>
        <sz val="10"/>
        <color theme="1"/>
        <rFont val="Times New Roman"/>
        <family val="1"/>
      </rPr>
      <t xml:space="preserve">December 1, 2025 – November 1, 2026: </t>
    </r>
    <r>
      <rPr>
        <sz val="10"/>
        <color theme="1"/>
        <rFont val="Times New Roman"/>
        <family val="1"/>
      </rPr>
      <t xml:space="preserve">12 monthly principal &amp; interest  ~ $5,847,644 total.              </t>
    </r>
    <r>
      <rPr>
        <b/>
        <sz val="10"/>
        <color theme="1"/>
        <rFont val="Times New Roman"/>
        <family val="1"/>
      </rPr>
      <t xml:space="preserve">                                                                                                                                     December 1, 2026 – November 1, 2027:</t>
    </r>
    <r>
      <rPr>
        <sz val="10"/>
        <color theme="1"/>
        <rFont val="Times New Roman"/>
        <family val="1"/>
      </rPr>
      <t xml:space="preserve"> 12 monthly principal &amp; interest  ~$5,847,644 total</t>
    </r>
  </si>
  <si>
    <t>Sensitivity Analysis - Minimum Annual DSCR by Rate &amp; Term</t>
  </si>
  <si>
    <t>Tab</t>
  </si>
  <si>
    <t>Description</t>
  </si>
  <si>
    <t>Reference</t>
  </si>
  <si>
    <t>Tab 1</t>
  </si>
  <si>
    <t>Tab 2</t>
  </si>
  <si>
    <t>Cash Flow</t>
  </si>
  <si>
    <t>Tab 3</t>
  </si>
  <si>
    <t>Schedule</t>
  </si>
  <si>
    <t>Tab 4</t>
  </si>
  <si>
    <t>Sensitivity</t>
  </si>
  <si>
    <t>Tab 5</t>
  </si>
  <si>
    <t>Tab 6</t>
  </si>
  <si>
    <t>PFS</t>
  </si>
  <si>
    <t>Tab 7</t>
  </si>
  <si>
    <t>Contract</t>
  </si>
  <si>
    <t>Tab 8</t>
  </si>
  <si>
    <t>*Sample deal for demonstration purposes only. All data is fictional. Prepared independently by Kristen Gallagher.</t>
  </si>
  <si>
    <t>Risk Factor</t>
  </si>
  <si>
    <t>Severity</t>
  </si>
  <si>
    <t>Mitigant</t>
  </si>
  <si>
    <t>Residual Risk</t>
  </si>
  <si>
    <t>Year-4 DSCR Deterioration</t>
  </si>
  <si>
    <t>MEDIUM</t>
  </si>
  <si>
    <t>Minimum annual DSCR declines to 2.16x in the 2026-27 season as guaranteed salary steps down to $26.9M, falling below the 2.50x guideline floor on an annual basis.</t>
  </si>
  <si>
    <t>Interest reserve, 10% cash depository, and collateral coverage of 8.48x provide sufficient liquidity buffer. Lender-controlled direct deposit ensures payment continuity regardless of borrower cash management.</t>
  </si>
  <si>
    <t>LOW</t>
  </si>
  <si>
    <t>Below-Average Credit Score</t>
  </si>
  <si>
    <t>Speculative Use of Proceeds</t>
  </si>
  <si>
    <t>Loan proceeds designated for franchise investment — an illiquid, speculative asset with no guaranteed return or direct income offset against loan obligations.</t>
  </si>
  <si>
    <t>Full personal guarantee and guaranteed contract income significantly reduce reliance on borrower creditworthiness. Active monitoring required throughout loan term.</t>
  </si>
  <si>
    <t>Repayment sourced entirely from guaranteed NBA contract cash flow, Franchise investment does not affect repayment capacity. DDD insurance provides catastrophic loss protection.</t>
  </si>
  <si>
    <t>RISK FLAGS &amp; MITIGANTS</t>
  </si>
  <si>
    <t>*Disposable Income reflects average net cash flow across the full loan term as a percentage of total contract value. DSCR reflects average annual debt service coverage across active repayment periods.</t>
  </si>
  <si>
    <t xml:space="preserve">Disposable Income (Net) </t>
  </si>
  <si>
    <t>Player A | $10,250,000 Guaranteed Contract Facility | February 2025</t>
  </si>
  <si>
    <t>Underwriting standards compliance table, key ratios, risk flags, and 5 C's scoring narrative.</t>
  </si>
  <si>
    <t>Full 36-month amortization schedule with deferral period</t>
  </si>
  <si>
    <t>Centralized deal inputs; loan parameters, fee structure, mortgage debts</t>
  </si>
  <si>
    <t>Personal financial statement</t>
  </si>
  <si>
    <t>Uniform Player Contract compensation with analysis.</t>
  </si>
  <si>
    <t>Credit memorandum summarizing the proposed facility</t>
  </si>
  <si>
    <t>Dual sensitivity analysis stress-testing total interest income and minimum annual DSCR across 30 rate and term scenarios</t>
  </si>
  <si>
    <t>Four-year personal cash flow detailing net cash available for debt service</t>
  </si>
  <si>
    <t>Underwriting Standards: Type</t>
  </si>
  <si>
    <t xml:space="preserve">Borrower credit score of 680 is below average for a facility of this size. One prior missed payment noted, since resolved. Four accounts currently in good standing. </t>
  </si>
  <si>
    <t>CONTRACT LOAN - CREDIT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</si>
</sst>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164" formatCode="_(&quot;$&quot;* #,##0_);_(&quot;$&quot;* \(#,##0\);_(&quot;$&quot;* &quot;-&quot;??_);_(@_)"/>
    <numFmt numFmtId="165" formatCode="&quot;$&quot;#,##0"/>
    <numFmt numFmtId="166" formatCode="&quot;$&quot;#,##0.00"/>
    <numFmt numFmtId="167" formatCode="0.00\x"/>
    <numFmt numFmtId="168" formatCode="0.0\x"/>
    <numFmt numFmtId="169" formatCode="0.0%"/>
    <numFmt numFmtId="170" formatCode="[$-F800]dddd\,\ mmmm\ dd\,\ yyyy"/>
    <numFmt numFmtId="184" formatCode="0.0"/>
  </numFmts>
  <fonts count="39" x14ac:knownFonts="1">
    <font>
      <sz val="12"/>
      <color theme="1"/>
      <name val="Aptos Narrow"/>
      <family val="2"/>
      <scheme val="minor"/>
    </font>
    <font>
      <sz val="9"/>
      <color rgb="FF000000"/>
      <name val="Times New Roman"/>
      <family val="1"/>
    </font>
    <font>
      <sz val="12"/>
      <color theme="1"/>
      <name val="Aptos Narrow"/>
      <family val="2"/>
      <scheme val="minor"/>
    </font>
    <font>
      <sz val="8"/>
      <name val="Aptos Narrow"/>
      <family val="2"/>
      <scheme val="minor"/>
    </font>
    <font>
      <b/>
      <sz val="12"/>
      <color theme="1"/>
      <name val="Times New Roman"/>
      <family val="1"/>
    </font>
    <font>
      <sz val="12"/>
      <color theme="1"/>
      <name val="Times New Roman"/>
      <family val="1"/>
    </font>
    <font>
      <sz val="10"/>
      <color theme="1"/>
      <name val="Times New Roman"/>
      <family val="1"/>
    </font>
    <font>
      <sz val="10"/>
      <color rgb="FF000000"/>
      <name val="Times New Roman"/>
      <family val="1"/>
    </font>
    <font>
      <b/>
      <sz val="10"/>
      <color theme="1"/>
      <name val="Times New Roman"/>
      <family val="1"/>
    </font>
    <font>
      <b/>
      <i/>
      <sz val="10"/>
      <color theme="1"/>
      <name val="Times New Roman"/>
      <family val="1"/>
    </font>
    <font>
      <sz val="8"/>
      <color rgb="FF000000"/>
      <name val="Times New Roman"/>
      <family val="1"/>
    </font>
    <font>
      <sz val="10"/>
      <color rgb="FF262626"/>
      <name val="Times New Roman"/>
      <family val="1"/>
    </font>
    <font>
      <b/>
      <sz val="10"/>
      <color rgb="FF000000"/>
      <name val="Times New Roman"/>
      <family val="1"/>
    </font>
    <font>
      <b/>
      <sz val="11"/>
      <color theme="1"/>
      <name val="Times New Roman"/>
      <family val="1"/>
    </font>
    <font>
      <sz val="11"/>
      <color rgb="FF000000"/>
      <name val="Times New Roman"/>
      <family val="1"/>
    </font>
    <font>
      <sz val="11"/>
      <color rgb="FFFF0000"/>
      <name val="Times New Roman"/>
      <family val="1"/>
    </font>
    <font>
      <b/>
      <sz val="9"/>
      <color theme="1"/>
      <name val="Times New Roman"/>
      <family val="1"/>
    </font>
    <font>
      <sz val="11"/>
      <color theme="1"/>
      <name val="Times New Roman"/>
      <family val="1"/>
    </font>
    <font>
      <b/>
      <u/>
      <sz val="11"/>
      <color theme="1"/>
      <name val="Times New Roman"/>
      <family val="1"/>
    </font>
    <font>
      <b/>
      <sz val="8"/>
      <color rgb="FF000000"/>
      <name val="Times New Roman"/>
      <family val="1"/>
    </font>
    <font>
      <b/>
      <sz val="10"/>
      <color rgb="FF262626"/>
      <name val="Times New Roman"/>
      <family val="1"/>
    </font>
    <font>
      <b/>
      <i/>
      <sz val="10"/>
      <color rgb="FF000000"/>
      <name val="Times New Roman"/>
      <family val="1"/>
    </font>
    <font>
      <b/>
      <sz val="12"/>
      <color theme="0"/>
      <name val="Aptos Narrow"/>
      <family val="2"/>
      <scheme val="minor"/>
    </font>
    <font>
      <b/>
      <sz val="12"/>
      <color theme="0"/>
      <name val="Times New Roman"/>
      <family val="1"/>
    </font>
    <font>
      <b/>
      <sz val="11"/>
      <color theme="0"/>
      <name val="Times New Roman"/>
      <family val="1"/>
    </font>
    <font>
      <b/>
      <i/>
      <sz val="10"/>
      <color rgb="FF262626"/>
      <name val="Times New Roman"/>
      <family val="1"/>
    </font>
    <font>
      <i/>
      <sz val="11"/>
      <color rgb="FF424242"/>
      <name val="Times New Roman"/>
      <family val="1"/>
    </font>
    <font>
      <b/>
      <sz val="14"/>
      <color theme="0"/>
      <name val="Times New Roman"/>
      <family val="1"/>
    </font>
    <font>
      <u/>
      <sz val="12"/>
      <color theme="1"/>
      <name val="Times New Roman"/>
      <family val="1"/>
    </font>
    <font>
      <i/>
      <sz val="11"/>
      <color theme="1"/>
      <name val="Times New Roman"/>
      <family val="1"/>
    </font>
    <font>
      <sz val="14"/>
      <color theme="1"/>
      <name val="Times New Roman"/>
      <family val="1"/>
    </font>
    <font>
      <sz val="12"/>
      <color rgb="FF424242"/>
      <name val="Courier New"/>
      <family val="1"/>
    </font>
    <font>
      <b/>
      <sz val="12"/>
      <color theme="1"/>
      <name val="Aptos Narrow"/>
      <family val="2"/>
      <scheme val="minor"/>
    </font>
    <font>
      <i/>
      <sz val="10"/>
      <color theme="1"/>
      <name val="Times New Roman"/>
      <family val="1"/>
    </font>
    <font>
      <b/>
      <sz val="14"/>
      <color theme="1"/>
      <name val="Times New Roman"/>
      <family val="1"/>
    </font>
    <font>
      <b/>
      <sz val="11"/>
      <color rgb="FF000000"/>
      <name val="Times New Roman"/>
      <family val="1"/>
    </font>
    <font>
      <b/>
      <sz val="12"/>
      <color theme="3"/>
      <name val="Times New Roman"/>
      <family val="1"/>
    </font>
    <font>
      <i/>
      <sz val="12"/>
      <color theme="1"/>
      <name val="Times New Roman"/>
      <family val="1"/>
    </font>
    <font>
      <b/>
      <sz val="11"/>
      <color theme="3"/>
      <name val="Times New Roman"/>
      <family val="1"/>
    </font>
  </fonts>
  <fills count="8">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solid">
        <fgColor theme="0"/>
        <bgColor indexed="64"/>
      </patternFill>
    </fill>
    <fill>
      <patternFill patternType="solid">
        <fgColor theme="3"/>
        <bgColor indexed="64"/>
      </patternFill>
    </fill>
    <fill>
      <patternFill patternType="solid">
        <fgColor theme="9" tint="0.79998168889431442"/>
        <bgColor indexed="64"/>
      </patternFill>
    </fill>
    <fill>
      <patternFill patternType="solid">
        <fgColor theme="6" tint="0.79998168889431442"/>
        <bgColor indexed="64"/>
      </patternFill>
    </fill>
  </fills>
  <borders count="24">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top style="thin">
        <color indexed="64"/>
      </top>
      <bottom/>
      <diagonal/>
    </border>
    <border>
      <left/>
      <right/>
      <top style="medium">
        <color rgb="FF000000"/>
      </top>
      <bottom style="medium">
        <color rgb="FF000000"/>
      </bottom>
      <diagonal/>
    </border>
    <border>
      <left/>
      <right/>
      <top style="thin">
        <color theme="3"/>
      </top>
      <bottom style="thin">
        <color theme="3"/>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48">
    <xf numFmtId="0" fontId="0" fillId="0" borderId="0" xfId="0"/>
    <xf numFmtId="9" fontId="0" fillId="0" borderId="0" xfId="0" applyNumberFormat="1"/>
    <xf numFmtId="0" fontId="4" fillId="0" borderId="0" xfId="0" applyFont="1"/>
    <xf numFmtId="0" fontId="5" fillId="0" borderId="0" xfId="0" applyFont="1"/>
    <xf numFmtId="0" fontId="5" fillId="0" borderId="0" xfId="0" applyFont="1" applyAlignment="1">
      <alignment horizontal="center" vertical="center"/>
    </xf>
    <xf numFmtId="14" fontId="5" fillId="0" borderId="0" xfId="0" applyNumberFormat="1" applyFont="1" applyAlignment="1">
      <alignment horizontal="center" vertical="center"/>
    </xf>
    <xf numFmtId="0" fontId="6" fillId="0" borderId="0" xfId="0" applyFont="1"/>
    <xf numFmtId="9" fontId="7" fillId="0" borderId="0" xfId="2" applyFont="1"/>
    <xf numFmtId="1" fontId="7" fillId="0" borderId="0" xfId="0" applyNumberFormat="1" applyFont="1"/>
    <xf numFmtId="0" fontId="8" fillId="0" borderId="0" xfId="0" applyFont="1"/>
    <xf numFmtId="0" fontId="4" fillId="0" borderId="0" xfId="0" applyFont="1" applyAlignment="1">
      <alignment horizontal="center" vertical="center"/>
    </xf>
    <xf numFmtId="0" fontId="6" fillId="0" borderId="0" xfId="0" applyFont="1" applyAlignment="1">
      <alignment horizontal="left" indent="1"/>
    </xf>
    <xf numFmtId="166" fontId="5" fillId="0" borderId="0" xfId="0" applyNumberFormat="1" applyFont="1"/>
    <xf numFmtId="14" fontId="5" fillId="0" borderId="1" xfId="0" applyNumberFormat="1" applyFont="1" applyBorder="1" applyAlignment="1">
      <alignment horizontal="center" vertical="center"/>
    </xf>
    <xf numFmtId="8" fontId="5" fillId="0" borderId="0" xfId="0" applyNumberFormat="1" applyFont="1"/>
    <xf numFmtId="0" fontId="6" fillId="0" borderId="0" xfId="0" applyFont="1" applyAlignment="1">
      <alignment horizontal="center" vertical="center"/>
    </xf>
    <xf numFmtId="0" fontId="10" fillId="0" borderId="0" xfId="0" applyFont="1"/>
    <xf numFmtId="6" fontId="7" fillId="0" borderId="0" xfId="0" applyNumberFormat="1" applyFont="1"/>
    <xf numFmtId="0" fontId="7" fillId="0" borderId="0" xfId="0" applyFont="1"/>
    <xf numFmtId="165" fontId="7" fillId="0" borderId="0" xfId="1" applyNumberFormat="1" applyFont="1"/>
    <xf numFmtId="6" fontId="6" fillId="0" borderId="0" xfId="0" applyNumberFormat="1" applyFont="1"/>
    <xf numFmtId="165" fontId="7" fillId="0" borderId="0" xfId="1" applyNumberFormat="1" applyFont="1" applyBorder="1"/>
    <xf numFmtId="9" fontId="7" fillId="0" borderId="0" xfId="2" applyFont="1" applyBorder="1"/>
    <xf numFmtId="165" fontId="5" fillId="0" borderId="0" xfId="0" applyNumberFormat="1" applyFont="1"/>
    <xf numFmtId="6" fontId="5" fillId="0" borderId="0" xfId="0" applyNumberFormat="1" applyFont="1"/>
    <xf numFmtId="0" fontId="1" fillId="0" borderId="5" xfId="0" applyFont="1" applyBorder="1" applyAlignment="1">
      <alignment horizontal="center" vertical="center" wrapText="1"/>
    </xf>
    <xf numFmtId="0" fontId="7" fillId="0" borderId="0" xfId="0" applyFont="1" applyAlignment="1">
      <alignment horizontal="left" indent="2"/>
    </xf>
    <xf numFmtId="0" fontId="12" fillId="0" borderId="0" xfId="0" applyFont="1" applyAlignment="1">
      <alignment horizontal="left" vertical="center"/>
    </xf>
    <xf numFmtId="164" fontId="13" fillId="0" borderId="0" xfId="0" applyNumberFormat="1" applyFont="1" applyAlignment="1">
      <alignment horizontal="center" vertical="center"/>
    </xf>
    <xf numFmtId="0" fontId="17" fillId="0" borderId="0" xfId="0" applyFont="1"/>
    <xf numFmtId="0" fontId="13" fillId="0" borderId="0" xfId="0" applyFont="1"/>
    <xf numFmtId="6" fontId="13" fillId="0" borderId="0" xfId="0" applyNumberFormat="1" applyFont="1" applyAlignment="1">
      <alignment horizontal="center" vertical="center"/>
    </xf>
    <xf numFmtId="2" fontId="7" fillId="0" borderId="0" xfId="0" applyNumberFormat="1" applyFont="1"/>
    <xf numFmtId="0" fontId="7" fillId="0" borderId="0" xfId="0" applyFont="1" applyAlignment="1">
      <alignment vertical="center"/>
    </xf>
    <xf numFmtId="44" fontId="6" fillId="0" borderId="0" xfId="0" applyNumberFormat="1" applyFont="1"/>
    <xf numFmtId="165" fontId="11" fillId="0" borderId="0" xfId="1" applyNumberFormat="1" applyFont="1" applyBorder="1"/>
    <xf numFmtId="0" fontId="8" fillId="0" borderId="0" xfId="0" applyFont="1" applyAlignment="1">
      <alignment horizontal="center"/>
    </xf>
    <xf numFmtId="0" fontId="13" fillId="0" borderId="9" xfId="0" applyFont="1" applyBorder="1"/>
    <xf numFmtId="0" fontId="7" fillId="0" borderId="9" xfId="0" applyFont="1" applyBorder="1" applyAlignment="1">
      <alignment horizontal="left" indent="2"/>
    </xf>
    <xf numFmtId="0" fontId="12" fillId="0" borderId="9" xfId="0" applyFont="1" applyBorder="1"/>
    <xf numFmtId="0" fontId="7" fillId="0" borderId="9" xfId="0" applyFont="1" applyBorder="1" applyAlignment="1">
      <alignment horizontal="left" indent="1"/>
    </xf>
    <xf numFmtId="0" fontId="12" fillId="0" borderId="9" xfId="0" applyFont="1" applyBorder="1" applyAlignment="1">
      <alignment horizontal="left" vertical="center"/>
    </xf>
    <xf numFmtId="0" fontId="12" fillId="0" borderId="9" xfId="0" applyFont="1" applyBorder="1" applyAlignment="1">
      <alignment vertical="center"/>
    </xf>
    <xf numFmtId="0" fontId="19" fillId="0" borderId="9" xfId="0" applyFont="1" applyBorder="1"/>
    <xf numFmtId="0" fontId="21" fillId="0" borderId="9" xfId="0" applyFont="1" applyBorder="1"/>
    <xf numFmtId="0" fontId="6" fillId="0" borderId="9" xfId="0" applyFont="1" applyBorder="1"/>
    <xf numFmtId="0" fontId="7" fillId="0" borderId="9" xfId="0" applyFont="1" applyBorder="1"/>
    <xf numFmtId="0" fontId="12" fillId="0" borderId="9" xfId="0" applyFont="1" applyBorder="1" applyAlignment="1">
      <alignment horizontal="left" indent="2"/>
    </xf>
    <xf numFmtId="0" fontId="18" fillId="0" borderId="0" xfId="0" applyFont="1" applyAlignment="1">
      <alignment horizontal="center" vertical="top"/>
    </xf>
    <xf numFmtId="0" fontId="18" fillId="0" borderId="9" xfId="0" applyFont="1" applyBorder="1" applyAlignment="1">
      <alignment horizontal="center" vertical="top"/>
    </xf>
    <xf numFmtId="165" fontId="6" fillId="0" borderId="0" xfId="1" applyNumberFormat="1" applyFont="1" applyFill="1" applyBorder="1"/>
    <xf numFmtId="0" fontId="8" fillId="0" borderId="9" xfId="0" applyFont="1" applyBorder="1" applyAlignment="1">
      <alignment horizontal="center"/>
    </xf>
    <xf numFmtId="166" fontId="6" fillId="0" borderId="4" xfId="1" applyNumberFormat="1" applyFont="1" applyFill="1" applyBorder="1"/>
    <xf numFmtId="0" fontId="6" fillId="0" borderId="9" xfId="0" applyFont="1" applyBorder="1" applyAlignment="1">
      <alignment horizontal="left" indent="1"/>
    </xf>
    <xf numFmtId="0" fontId="8" fillId="0" borderId="9" xfId="0" applyFont="1" applyBorder="1"/>
    <xf numFmtId="0" fontId="6" fillId="0" borderId="4" xfId="0" applyFont="1" applyBorder="1"/>
    <xf numFmtId="0" fontId="8" fillId="0" borderId="9" xfId="0" applyFont="1" applyBorder="1" applyAlignment="1">
      <alignment horizontal="left" vertical="center"/>
    </xf>
    <xf numFmtId="9" fontId="6" fillId="0" borderId="0" xfId="2" applyFont="1" applyAlignment="1">
      <alignment horizontal="center" vertical="center"/>
    </xf>
    <xf numFmtId="9" fontId="6" fillId="0" borderId="0" xfId="2" applyFont="1" applyBorder="1" applyAlignment="1">
      <alignment horizontal="center" vertical="center"/>
    </xf>
    <xf numFmtId="168" fontId="6" fillId="0" borderId="0" xfId="0" applyNumberFormat="1" applyFont="1" applyAlignment="1">
      <alignment horizontal="center" vertical="center"/>
    </xf>
    <xf numFmtId="167" fontId="6" fillId="0" borderId="0" xfId="0" applyNumberFormat="1" applyFont="1" applyAlignment="1">
      <alignment horizontal="center" vertical="center"/>
    </xf>
    <xf numFmtId="9" fontId="6" fillId="0" borderId="0" xfId="0" applyNumberFormat="1" applyFont="1" applyAlignment="1">
      <alignment horizontal="center" vertical="center"/>
    </xf>
    <xf numFmtId="0" fontId="5" fillId="0" borderId="0" xfId="0" applyFont="1" applyAlignment="1">
      <alignment horizontal="center"/>
    </xf>
    <xf numFmtId="0" fontId="19" fillId="0" borderId="0" xfId="0" applyFont="1"/>
    <xf numFmtId="0" fontId="5" fillId="0" borderId="0" xfId="0" applyFont="1" applyAlignment="1">
      <alignment horizontal="right"/>
    </xf>
    <xf numFmtId="0" fontId="7" fillId="0" borderId="0" xfId="0" applyFont="1" applyAlignment="1">
      <alignment horizontal="right" indent="1"/>
    </xf>
    <xf numFmtId="0" fontId="0" fillId="0" borderId="0" xfId="0" applyAlignment="1">
      <alignment horizontal="right"/>
    </xf>
    <xf numFmtId="165" fontId="11" fillId="0" borderId="0" xfId="1" applyNumberFormat="1" applyFont="1" applyBorder="1" applyAlignment="1">
      <alignment horizontal="center" vertical="center"/>
    </xf>
    <xf numFmtId="165" fontId="6" fillId="0" borderId="9" xfId="1" applyNumberFormat="1" applyFont="1" applyBorder="1" applyAlignment="1">
      <alignment horizontal="center" vertical="center"/>
    </xf>
    <xf numFmtId="164" fontId="6" fillId="0" borderId="10" xfId="0" applyNumberFormat="1" applyFont="1" applyBorder="1" applyAlignment="1">
      <alignment horizontal="center" vertical="center"/>
    </xf>
    <xf numFmtId="165" fontId="11" fillId="0" borderId="10" xfId="1" applyNumberFormat="1" applyFont="1" applyBorder="1" applyAlignment="1">
      <alignment horizontal="center" vertical="center"/>
    </xf>
    <xf numFmtId="6" fontId="7" fillId="0" borderId="9" xfId="0" applyNumberFormat="1" applyFont="1" applyBorder="1" applyAlignment="1">
      <alignment horizontal="center" vertical="center"/>
    </xf>
    <xf numFmtId="165" fontId="20" fillId="0" borderId="10" xfId="1" applyNumberFormat="1" applyFont="1" applyBorder="1" applyAlignment="1">
      <alignment horizontal="center" vertical="center"/>
    </xf>
    <xf numFmtId="164" fontId="12" fillId="0" borderId="9" xfId="0" applyNumberFormat="1" applyFont="1" applyBorder="1" applyAlignment="1">
      <alignment horizontal="center" vertical="center"/>
    </xf>
    <xf numFmtId="44" fontId="17" fillId="0" borderId="0" xfId="1" applyFont="1"/>
    <xf numFmtId="0" fontId="5" fillId="3" borderId="0" xfId="0" applyFont="1" applyFill="1"/>
    <xf numFmtId="165" fontId="6" fillId="4" borderId="0" xfId="1" applyNumberFormat="1" applyFont="1" applyFill="1" applyBorder="1"/>
    <xf numFmtId="165" fontId="17" fillId="0" borderId="0" xfId="0" applyNumberFormat="1" applyFont="1"/>
    <xf numFmtId="0" fontId="7" fillId="4" borderId="0" xfId="0" applyFont="1" applyFill="1"/>
    <xf numFmtId="165" fontId="7" fillId="4" borderId="0" xfId="1" applyNumberFormat="1" applyFont="1" applyFill="1"/>
    <xf numFmtId="14" fontId="7" fillId="4" borderId="0" xfId="0" applyNumberFormat="1" applyFont="1" applyFill="1"/>
    <xf numFmtId="9" fontId="6" fillId="4" borderId="0" xfId="2" applyFont="1" applyFill="1"/>
    <xf numFmtId="165" fontId="7" fillId="4" borderId="0" xfId="1" applyNumberFormat="1" applyFont="1" applyFill="1" applyAlignment="1">
      <alignment horizontal="right"/>
    </xf>
    <xf numFmtId="0" fontId="6" fillId="4" borderId="0" xfId="0" applyFont="1" applyFill="1"/>
    <xf numFmtId="0" fontId="26" fillId="0" borderId="0" xfId="0" applyFont="1"/>
    <xf numFmtId="0" fontId="5" fillId="0" borderId="0" xfId="0" applyFont="1" applyAlignment="1">
      <alignment wrapText="1"/>
    </xf>
    <xf numFmtId="0" fontId="24" fillId="5" borderId="12" xfId="0" applyFont="1" applyFill="1" applyBorder="1" applyAlignment="1">
      <alignment vertical="center" wrapText="1"/>
    </xf>
    <xf numFmtId="0" fontId="14" fillId="0" borderId="0" xfId="0" applyFont="1" applyAlignment="1">
      <alignment vertical="center" wrapText="1"/>
    </xf>
    <xf numFmtId="0" fontId="14" fillId="0" borderId="11" xfId="0" applyFont="1" applyBorder="1" applyAlignment="1">
      <alignment vertical="center" wrapText="1"/>
    </xf>
    <xf numFmtId="0" fontId="8" fillId="3" borderId="0" xfId="0" applyFont="1" applyFill="1"/>
    <xf numFmtId="0" fontId="23" fillId="5" borderId="0" xfId="0" applyFont="1" applyFill="1" applyAlignment="1">
      <alignment horizontal="center" vertical="center"/>
    </xf>
    <xf numFmtId="0" fontId="30" fillId="0" borderId="0" xfId="0" applyFont="1" applyAlignment="1">
      <alignment horizontal="center" vertical="center"/>
    </xf>
    <xf numFmtId="0" fontId="4" fillId="4" borderId="0" xfId="0" applyFont="1" applyFill="1" applyAlignment="1">
      <alignment vertical="center"/>
    </xf>
    <xf numFmtId="10" fontId="6" fillId="4" borderId="0" xfId="2" applyNumberFormat="1" applyFont="1" applyFill="1" applyBorder="1"/>
    <xf numFmtId="0" fontId="7" fillId="4" borderId="0" xfId="1" applyNumberFormat="1" applyFont="1" applyFill="1" applyBorder="1" applyAlignment="1">
      <alignment horizontal="right"/>
    </xf>
    <xf numFmtId="10" fontId="7" fillId="4" borderId="0" xfId="2" applyNumberFormat="1" applyFont="1" applyFill="1" applyBorder="1"/>
    <xf numFmtId="9" fontId="6" fillId="4" borderId="0" xfId="2" applyFont="1" applyFill="1" applyBorder="1"/>
    <xf numFmtId="8" fontId="7" fillId="0" borderId="0" xfId="0" applyNumberFormat="1" applyFont="1"/>
    <xf numFmtId="8" fontId="31" fillId="0" borderId="0" xfId="0" applyNumberFormat="1" applyFont="1"/>
    <xf numFmtId="0" fontId="27" fillId="5" borderId="0" xfId="0" applyFont="1" applyFill="1" applyAlignment="1">
      <alignment horizontal="center" vertical="center"/>
    </xf>
    <xf numFmtId="0" fontId="23" fillId="5" borderId="0" xfId="0" applyFont="1" applyFill="1" applyAlignment="1">
      <alignment horizontal="center" vertical="center"/>
    </xf>
    <xf numFmtId="0" fontId="4" fillId="0" borderId="2" xfId="0" applyFont="1" applyBorder="1" applyAlignment="1">
      <alignment horizontal="center" vertical="center"/>
    </xf>
    <xf numFmtId="0" fontId="4" fillId="0" borderId="6" xfId="0" applyFont="1" applyBorder="1" applyAlignment="1">
      <alignment horizontal="center" vertical="center"/>
    </xf>
    <xf numFmtId="0" fontId="4" fillId="0" borderId="3" xfId="0" applyFont="1" applyBorder="1" applyAlignment="1">
      <alignment horizontal="center" vertical="center"/>
    </xf>
    <xf numFmtId="0" fontId="0" fillId="0" borderId="9" xfId="0" applyBorder="1"/>
    <xf numFmtId="0" fontId="0" fillId="0" borderId="4" xfId="0" applyBorder="1"/>
    <xf numFmtId="0" fontId="0" fillId="0" borderId="7" xfId="0" applyBorder="1"/>
    <xf numFmtId="0" fontId="8" fillId="0" borderId="0" xfId="0" applyFont="1" applyBorder="1"/>
    <xf numFmtId="0" fontId="6" fillId="0" borderId="0" xfId="0" applyFont="1" applyBorder="1" applyAlignment="1">
      <alignment horizontal="left" indent="1"/>
    </xf>
    <xf numFmtId="0" fontId="18" fillId="0" borderId="10" xfId="0" applyFont="1" applyBorder="1" applyAlignment="1">
      <alignment horizontal="center"/>
    </xf>
    <xf numFmtId="0" fontId="18" fillId="0" borderId="10" xfId="0" applyFont="1" applyBorder="1" applyAlignment="1">
      <alignment horizontal="center" vertical="center"/>
    </xf>
    <xf numFmtId="165" fontId="5" fillId="0" borderId="0" xfId="0" applyNumberFormat="1" applyFont="1" applyBorder="1"/>
    <xf numFmtId="0" fontId="4" fillId="0" borderId="7" xfId="0" applyFont="1" applyBorder="1"/>
    <xf numFmtId="0" fontId="4" fillId="0" borderId="11" xfId="0" applyFont="1" applyBorder="1"/>
    <xf numFmtId="165" fontId="5" fillId="0" borderId="15" xfId="0" applyNumberFormat="1" applyFont="1" applyBorder="1"/>
    <xf numFmtId="0" fontId="34" fillId="0" borderId="0" xfId="0" applyFont="1"/>
    <xf numFmtId="0" fontId="9" fillId="0" borderId="0" xfId="0" applyFont="1" applyAlignment="1">
      <alignment horizontal="center" vertical="center"/>
    </xf>
    <xf numFmtId="0" fontId="0" fillId="0" borderId="0" xfId="0" applyAlignment="1">
      <alignment horizontal="center"/>
    </xf>
    <xf numFmtId="0" fontId="36" fillId="3" borderId="15" xfId="0" applyFont="1" applyFill="1" applyBorder="1" applyAlignment="1">
      <alignment horizontal="center"/>
    </xf>
    <xf numFmtId="0" fontId="36" fillId="3" borderId="16" xfId="0" applyFont="1" applyFill="1" applyBorder="1" applyAlignment="1">
      <alignment horizontal="center"/>
    </xf>
    <xf numFmtId="0" fontId="36" fillId="3" borderId="14" xfId="0" applyFont="1" applyFill="1" applyBorder="1" applyAlignment="1">
      <alignment horizontal="center"/>
    </xf>
    <xf numFmtId="0" fontId="27" fillId="5" borderId="5" xfId="0" applyFont="1" applyFill="1" applyBorder="1" applyAlignment="1">
      <alignment horizontal="center" vertical="center"/>
    </xf>
    <xf numFmtId="0" fontId="27" fillId="5" borderId="11" xfId="0" applyFont="1" applyFill="1" applyBorder="1" applyAlignment="1">
      <alignment horizontal="center" vertical="center"/>
    </xf>
    <xf numFmtId="0" fontId="7" fillId="4" borderId="0" xfId="0" applyFont="1" applyFill="1" applyBorder="1"/>
    <xf numFmtId="14" fontId="7" fillId="4" borderId="0" xfId="0" applyNumberFormat="1" applyFont="1" applyFill="1" applyBorder="1"/>
    <xf numFmtId="14" fontId="6" fillId="4" borderId="0" xfId="0" applyNumberFormat="1" applyFont="1" applyFill="1" applyBorder="1"/>
    <xf numFmtId="14" fontId="7" fillId="4" borderId="0" xfId="0" applyNumberFormat="1" applyFont="1" applyFill="1" applyBorder="1" applyAlignment="1">
      <alignment horizontal="right" vertical="center"/>
    </xf>
    <xf numFmtId="0" fontId="27" fillId="5" borderId="11" xfId="0" applyFont="1" applyFill="1" applyBorder="1" applyAlignment="1">
      <alignment horizontal="center" vertical="center"/>
    </xf>
    <xf numFmtId="0" fontId="27" fillId="5" borderId="0" xfId="0" applyFont="1" applyFill="1" applyBorder="1" applyAlignment="1">
      <alignment horizontal="center" vertical="center"/>
    </xf>
    <xf numFmtId="0" fontId="5" fillId="0" borderId="8" xfId="0" applyFont="1" applyBorder="1"/>
    <xf numFmtId="0" fontId="5" fillId="0" borderId="4" xfId="0" applyFont="1" applyBorder="1"/>
    <xf numFmtId="0" fontId="5" fillId="0" borderId="9" xfId="0" applyFont="1" applyBorder="1"/>
    <xf numFmtId="0" fontId="5" fillId="0" borderId="0" xfId="0" applyFont="1" applyBorder="1"/>
    <xf numFmtId="0" fontId="28" fillId="0" borderId="9" xfId="0" applyFont="1" applyBorder="1" applyAlignment="1">
      <alignment horizontal="center" vertical="center"/>
    </xf>
    <xf numFmtId="0" fontId="5" fillId="0" borderId="0" xfId="0" applyFont="1" applyBorder="1" applyAlignment="1">
      <alignment horizontal="center" vertical="center" wrapText="1"/>
    </xf>
    <xf numFmtId="0" fontId="17" fillId="0" borderId="9" xfId="0" applyFont="1" applyBorder="1" applyAlignment="1">
      <alignment horizontal="center" vertical="center"/>
    </xf>
    <xf numFmtId="165" fontId="17" fillId="0" borderId="0" xfId="0" applyNumberFormat="1" applyFont="1" applyBorder="1" applyAlignment="1">
      <alignment horizontal="center" vertical="center"/>
    </xf>
    <xf numFmtId="0" fontId="5" fillId="0" borderId="14" xfId="0" applyFont="1" applyBorder="1"/>
    <xf numFmtId="166" fontId="5" fillId="0" borderId="1" xfId="0" applyNumberFormat="1" applyFont="1" applyBorder="1"/>
    <xf numFmtId="0" fontId="4" fillId="0" borderId="9" xfId="0" applyFont="1" applyBorder="1" applyAlignment="1">
      <alignment horizontal="center"/>
    </xf>
    <xf numFmtId="0" fontId="4" fillId="0" borderId="0" xfId="0" applyFont="1" applyBorder="1" applyAlignment="1">
      <alignment horizontal="center"/>
    </xf>
    <xf numFmtId="0" fontId="4" fillId="0" borderId="4" xfId="0" applyFont="1" applyBorder="1" applyAlignment="1">
      <alignment horizontal="center"/>
    </xf>
    <xf numFmtId="0" fontId="5" fillId="0" borderId="0" xfId="0" applyFont="1" applyBorder="1" applyAlignment="1">
      <alignment wrapText="1"/>
    </xf>
    <xf numFmtId="166" fontId="5" fillId="0" borderId="0" xfId="0" applyNumberFormat="1" applyFont="1" applyBorder="1"/>
    <xf numFmtId="0" fontId="5" fillId="0" borderId="11" xfId="0" applyFont="1" applyBorder="1"/>
    <xf numFmtId="0" fontId="5" fillId="0" borderId="7" xfId="0" applyFont="1" applyBorder="1"/>
    <xf numFmtId="165" fontId="16" fillId="2" borderId="5" xfId="1" applyNumberFormat="1" applyFont="1" applyFill="1" applyBorder="1" applyAlignment="1">
      <alignment horizontal="center" vertical="center" wrapText="1"/>
    </xf>
    <xf numFmtId="0" fontId="5" fillId="0" borderId="9" xfId="0" applyFont="1" applyBorder="1" applyAlignment="1">
      <alignment horizontal="left" indent="2"/>
    </xf>
    <xf numFmtId="0" fontId="5" fillId="0" borderId="0" xfId="0" applyFont="1" applyBorder="1" applyAlignment="1">
      <alignment horizontal="left" indent="1"/>
    </xf>
    <xf numFmtId="170" fontId="5" fillId="0" borderId="0" xfId="0" applyNumberFormat="1" applyFont="1" applyBorder="1" applyAlignment="1">
      <alignment horizontal="left" indent="1"/>
    </xf>
    <xf numFmtId="0" fontId="34" fillId="0" borderId="9" xfId="0" applyFont="1" applyBorder="1" applyAlignment="1">
      <alignment horizontal="center"/>
    </xf>
    <xf numFmtId="0" fontId="34" fillId="0" borderId="0" xfId="0" applyFont="1" applyBorder="1" applyAlignment="1">
      <alignment horizontal="center"/>
    </xf>
    <xf numFmtId="0" fontId="34" fillId="0" borderId="4" xfId="0" applyFont="1" applyBorder="1" applyAlignment="1">
      <alignment horizontal="center"/>
    </xf>
    <xf numFmtId="0" fontId="34" fillId="0" borderId="0" xfId="0" applyFont="1" applyBorder="1" applyAlignment="1"/>
    <xf numFmtId="0" fontId="4" fillId="0" borderId="0" xfId="0" applyFont="1" applyBorder="1" applyAlignment="1"/>
    <xf numFmtId="0" fontId="5" fillId="0" borderId="4" xfId="0" applyFont="1" applyBorder="1" applyAlignment="1">
      <alignment horizontal="center" vertical="center" wrapText="1"/>
    </xf>
    <xf numFmtId="166" fontId="17" fillId="0" borderId="4" xfId="0" applyNumberFormat="1" applyFont="1" applyBorder="1" applyAlignment="1">
      <alignment horizontal="center" vertical="center"/>
    </xf>
    <xf numFmtId="2" fontId="6" fillId="0" borderId="0" xfId="0" applyNumberFormat="1" applyFont="1" applyAlignment="1">
      <alignment horizontal="center" vertical="center"/>
    </xf>
    <xf numFmtId="44" fontId="17" fillId="0" borderId="0" xfId="0" applyNumberFormat="1" applyFont="1"/>
    <xf numFmtId="1" fontId="5" fillId="0" borderId="0" xfId="0" applyNumberFormat="1" applyFont="1" applyAlignment="1">
      <alignment horizontal="center" vertical="center"/>
    </xf>
    <xf numFmtId="1" fontId="5" fillId="0" borderId="1" xfId="0" applyNumberFormat="1" applyFont="1" applyBorder="1" applyAlignment="1">
      <alignment horizontal="center" vertical="center"/>
    </xf>
    <xf numFmtId="8" fontId="17" fillId="0" borderId="0" xfId="0" applyNumberFormat="1" applyFont="1"/>
    <xf numFmtId="0" fontId="8" fillId="0" borderId="14" xfId="0" applyFont="1" applyBorder="1"/>
    <xf numFmtId="41" fontId="7" fillId="0" borderId="10" xfId="0" applyNumberFormat="1" applyFont="1" applyBorder="1" applyAlignment="1">
      <alignment horizontal="center" vertical="center"/>
    </xf>
    <xf numFmtId="41" fontId="11" fillId="0" borderId="10" xfId="1" applyNumberFormat="1" applyFont="1" applyBorder="1" applyAlignment="1">
      <alignment horizontal="center" vertical="center"/>
    </xf>
    <xf numFmtId="41" fontId="21" fillId="0" borderId="9" xfId="0" applyNumberFormat="1" applyFont="1" applyBorder="1" applyAlignment="1">
      <alignment horizontal="center" vertical="center"/>
    </xf>
    <xf numFmtId="41" fontId="25" fillId="0" borderId="10" xfId="1" applyNumberFormat="1" applyFont="1" applyBorder="1" applyAlignment="1">
      <alignment horizontal="center" vertical="center"/>
    </xf>
    <xf numFmtId="164" fontId="11" fillId="0" borderId="0" xfId="1" applyNumberFormat="1" applyFont="1" applyBorder="1" applyAlignment="1">
      <alignment horizontal="center" vertical="center"/>
    </xf>
    <xf numFmtId="164" fontId="20" fillId="0" borderId="10" xfId="1" applyNumberFormat="1" applyFont="1" applyBorder="1" applyAlignment="1">
      <alignment horizontal="center" vertical="center"/>
    </xf>
    <xf numFmtId="164" fontId="12" fillId="0" borderId="9" xfId="1" applyNumberFormat="1" applyFont="1" applyBorder="1" applyAlignment="1">
      <alignment horizontal="center" vertical="center"/>
    </xf>
    <xf numFmtId="6" fontId="7" fillId="0" borderId="0" xfId="0" applyNumberFormat="1" applyFont="1" applyBorder="1" applyAlignment="1">
      <alignment horizontal="center" vertical="center"/>
    </xf>
    <xf numFmtId="164" fontId="12" fillId="0" borderId="0" xfId="0" applyNumberFormat="1" applyFont="1" applyBorder="1" applyAlignment="1">
      <alignment horizontal="center" vertical="center"/>
    </xf>
    <xf numFmtId="41" fontId="21" fillId="0" borderId="0" xfId="0" applyNumberFormat="1" applyFont="1" applyBorder="1" applyAlignment="1">
      <alignment horizontal="center" vertical="center"/>
    </xf>
    <xf numFmtId="164" fontId="12" fillId="0" borderId="0" xfId="1" applyNumberFormat="1" applyFont="1" applyBorder="1" applyAlignment="1">
      <alignment horizontal="center" vertical="center"/>
    </xf>
    <xf numFmtId="41" fontId="7" fillId="0" borderId="0" xfId="0" applyNumberFormat="1" applyFont="1" applyBorder="1" applyAlignment="1">
      <alignment horizontal="center" vertical="center"/>
    </xf>
    <xf numFmtId="164" fontId="11" fillId="0" borderId="9" xfId="1" applyNumberFormat="1" applyFont="1" applyBorder="1" applyAlignment="1">
      <alignment horizontal="center" vertical="center"/>
    </xf>
    <xf numFmtId="164" fontId="11" fillId="0" borderId="10" xfId="1" applyNumberFormat="1" applyFont="1" applyBorder="1" applyAlignment="1">
      <alignment horizontal="center" vertical="center"/>
    </xf>
    <xf numFmtId="41" fontId="21" fillId="0" borderId="10" xfId="0" applyNumberFormat="1" applyFont="1" applyBorder="1" applyAlignment="1">
      <alignment horizontal="center" vertical="center"/>
    </xf>
    <xf numFmtId="0" fontId="8" fillId="0" borderId="18" xfId="0" applyFont="1" applyBorder="1"/>
    <xf numFmtId="2" fontId="8" fillId="0" borderId="19" xfId="0" applyNumberFormat="1" applyFont="1" applyBorder="1"/>
    <xf numFmtId="2" fontId="8" fillId="0" borderId="20" xfId="0" applyNumberFormat="1" applyFont="1" applyBorder="1"/>
    <xf numFmtId="164" fontId="8" fillId="0" borderId="19" xfId="1" applyNumberFormat="1" applyFont="1" applyFill="1" applyBorder="1"/>
    <xf numFmtId="164" fontId="8" fillId="0" borderId="20" xfId="1" applyNumberFormat="1" applyFont="1" applyFill="1" applyBorder="1"/>
    <xf numFmtId="6" fontId="7" fillId="0" borderId="0" xfId="0" applyNumberFormat="1" applyFont="1" applyBorder="1"/>
    <xf numFmtId="165" fontId="11" fillId="0" borderId="4" xfId="1" applyNumberFormat="1" applyFont="1" applyBorder="1"/>
    <xf numFmtId="41" fontId="6" fillId="0" borderId="0" xfId="1" applyNumberFormat="1" applyFont="1" applyFill="1" applyBorder="1"/>
    <xf numFmtId="41" fontId="6" fillId="0" borderId="0" xfId="0" applyNumberFormat="1" applyFont="1"/>
    <xf numFmtId="41" fontId="6" fillId="4" borderId="0" xfId="1" applyNumberFormat="1" applyFont="1" applyFill="1" applyBorder="1"/>
    <xf numFmtId="164" fontId="6" fillId="0" borderId="0" xfId="1" applyNumberFormat="1" applyFont="1" applyFill="1" applyBorder="1"/>
    <xf numFmtId="41" fontId="6" fillId="0" borderId="4" xfId="1" applyNumberFormat="1" applyFont="1" applyFill="1" applyBorder="1"/>
    <xf numFmtId="0" fontId="6" fillId="0" borderId="0" xfId="0" applyFont="1" applyFill="1" applyAlignment="1">
      <alignment horizontal="left" indent="1"/>
    </xf>
    <xf numFmtId="164" fontId="5" fillId="0" borderId="0" xfId="1" applyNumberFormat="1" applyFont="1" applyAlignment="1">
      <alignment horizontal="center" vertical="center"/>
    </xf>
    <xf numFmtId="41" fontId="5" fillId="0" borderId="0" xfId="1" applyNumberFormat="1" applyFont="1" applyAlignment="1">
      <alignment horizontal="center" vertical="center"/>
    </xf>
    <xf numFmtId="41" fontId="5" fillId="0" borderId="1" xfId="1" applyNumberFormat="1" applyFont="1" applyBorder="1" applyAlignment="1">
      <alignment horizontal="center" vertical="center"/>
    </xf>
    <xf numFmtId="164" fontId="8" fillId="0" borderId="0" xfId="1" applyNumberFormat="1" applyFont="1"/>
    <xf numFmtId="164" fontId="6" fillId="0" borderId="0" xfId="1" applyNumberFormat="1" applyFont="1"/>
    <xf numFmtId="164" fontId="8" fillId="3" borderId="0" xfId="1" applyNumberFormat="1" applyFont="1" applyFill="1"/>
    <xf numFmtId="167" fontId="6" fillId="0" borderId="0" xfId="0" applyNumberFormat="1" applyFont="1"/>
    <xf numFmtId="164" fontId="24" fillId="5" borderId="12" xfId="1" applyNumberFormat="1" applyFont="1" applyFill="1" applyBorder="1" applyAlignment="1">
      <alignment horizontal="justify" vertical="center" wrapText="1"/>
    </xf>
    <xf numFmtId="41" fontId="15" fillId="0" borderId="0" xfId="1" applyNumberFormat="1" applyFont="1" applyAlignment="1">
      <alignment vertical="center" wrapText="1"/>
    </xf>
    <xf numFmtId="41" fontId="15" fillId="0" borderId="0" xfId="1" applyNumberFormat="1" applyFont="1" applyAlignment="1">
      <alignment horizontal="right" vertical="center" wrapText="1"/>
    </xf>
    <xf numFmtId="41" fontId="15" fillId="0" borderId="8" xfId="1" applyNumberFormat="1" applyFont="1" applyBorder="1" applyAlignment="1">
      <alignment vertical="center" wrapText="1"/>
    </xf>
    <xf numFmtId="41" fontId="7" fillId="4" borderId="0" xfId="1" applyNumberFormat="1" applyFont="1" applyFill="1" applyBorder="1"/>
    <xf numFmtId="41" fontId="7" fillId="4" borderId="0" xfId="0" applyNumberFormat="1" applyFont="1" applyFill="1" applyBorder="1"/>
    <xf numFmtId="41" fontId="6" fillId="4" borderId="0" xfId="0" applyNumberFormat="1" applyFont="1" applyFill="1" applyBorder="1"/>
    <xf numFmtId="164" fontId="7" fillId="4" borderId="0" xfId="1" applyNumberFormat="1" applyFont="1" applyFill="1" applyBorder="1"/>
    <xf numFmtId="14" fontId="7" fillId="4" borderId="0" xfId="1" applyNumberFormat="1" applyFont="1" applyFill="1" applyBorder="1" applyAlignment="1">
      <alignment horizontal="right"/>
    </xf>
    <xf numFmtId="0" fontId="0" fillId="0" borderId="0" xfId="0" applyBorder="1"/>
    <xf numFmtId="0" fontId="0" fillId="0" borderId="19" xfId="0" applyBorder="1"/>
    <xf numFmtId="164" fontId="8" fillId="0" borderId="0" xfId="1" applyNumberFormat="1" applyFont="1" applyFill="1" applyBorder="1"/>
    <xf numFmtId="41" fontId="6" fillId="0" borderId="0" xfId="0" applyNumberFormat="1" applyFont="1" applyBorder="1"/>
    <xf numFmtId="0" fontId="8" fillId="0" borderId="9" xfId="0" applyFont="1" applyBorder="1" applyAlignment="1">
      <alignment horizontal="left" indent="1"/>
    </xf>
    <xf numFmtId="42" fontId="6" fillId="0" borderId="0" xfId="1" applyNumberFormat="1" applyFont="1" applyFill="1" applyBorder="1"/>
    <xf numFmtId="41" fontId="1" fillId="0" borderId="5" xfId="1" applyNumberFormat="1" applyFont="1" applyBorder="1" applyAlignment="1">
      <alignment horizontal="center" wrapText="1"/>
    </xf>
    <xf numFmtId="41" fontId="16" fillId="2" borderId="5" xfId="1" applyNumberFormat="1" applyFont="1" applyFill="1" applyBorder="1" applyAlignment="1">
      <alignment horizontal="center" wrapText="1"/>
    </xf>
    <xf numFmtId="42" fontId="1" fillId="0" borderId="2" xfId="1" applyNumberFormat="1" applyFont="1" applyBorder="1" applyAlignment="1">
      <alignment horizontal="center" wrapText="1"/>
    </xf>
    <xf numFmtId="42" fontId="1" fillId="0" borderId="5" xfId="1" applyNumberFormat="1" applyFont="1" applyBorder="1" applyAlignment="1">
      <alignment horizontal="center" wrapText="1"/>
    </xf>
    <xf numFmtId="0" fontId="8" fillId="0" borderId="0" xfId="0" applyFont="1" applyFill="1" applyAlignment="1">
      <alignment horizontal="left" indent="1"/>
    </xf>
    <xf numFmtId="0" fontId="0" fillId="0" borderId="0" xfId="0" applyAlignment="1">
      <alignment horizontal="center" vertical="center"/>
    </xf>
    <xf numFmtId="0" fontId="23" fillId="5" borderId="1" xfId="0" applyFont="1" applyFill="1" applyBorder="1" applyAlignment="1">
      <alignment horizontal="center"/>
    </xf>
    <xf numFmtId="0" fontId="5" fillId="0" borderId="0" xfId="0" applyFont="1" applyAlignment="1"/>
    <xf numFmtId="44" fontId="0" fillId="0" borderId="0" xfId="1" applyFont="1" applyAlignment="1">
      <alignment horizontal="center"/>
    </xf>
    <xf numFmtId="0" fontId="8" fillId="0" borderId="23" xfId="0" applyFont="1" applyFill="1" applyBorder="1" applyAlignment="1">
      <alignment horizontal="left" indent="1"/>
    </xf>
    <xf numFmtId="42" fontId="13" fillId="0" borderId="20" xfId="1" applyNumberFormat="1" applyFont="1" applyFill="1" applyBorder="1"/>
    <xf numFmtId="0" fontId="13" fillId="0" borderId="19" xfId="0" applyFont="1" applyBorder="1"/>
    <xf numFmtId="165" fontId="6" fillId="0" borderId="19" xfId="1" applyNumberFormat="1" applyFont="1" applyFill="1" applyBorder="1"/>
    <xf numFmtId="0" fontId="6" fillId="0" borderId="19" xfId="0" applyFont="1" applyBorder="1"/>
    <xf numFmtId="41" fontId="6" fillId="0" borderId="20" xfId="1" applyNumberFormat="1" applyFont="1" applyFill="1" applyBorder="1"/>
    <xf numFmtId="164" fontId="12" fillId="0" borderId="4" xfId="1" applyNumberFormat="1" applyFont="1" applyBorder="1" applyAlignment="1">
      <alignment horizontal="center" vertical="center"/>
    </xf>
    <xf numFmtId="0" fontId="13" fillId="4" borderId="2" xfId="0" applyFont="1" applyFill="1" applyBorder="1" applyAlignment="1">
      <alignment vertical="center" wrapText="1"/>
    </xf>
    <xf numFmtId="164" fontId="4" fillId="4" borderId="3" xfId="1" applyNumberFormat="1" applyFont="1" applyFill="1" applyBorder="1" applyAlignment="1">
      <alignment horizontal="left"/>
    </xf>
    <xf numFmtId="0" fontId="29" fillId="3" borderId="0" xfId="0" applyFont="1" applyFill="1" applyAlignment="1">
      <alignment vertical="center" wrapText="1"/>
    </xf>
    <xf numFmtId="41" fontId="29" fillId="3" borderId="0" xfId="1" applyNumberFormat="1" applyFont="1" applyFill="1" applyAlignment="1">
      <alignment horizontal="right" vertical="center" wrapText="1"/>
    </xf>
    <xf numFmtId="0" fontId="37" fillId="0" borderId="0" xfId="0" applyFont="1" applyAlignment="1"/>
    <xf numFmtId="41" fontId="8" fillId="0" borderId="0" xfId="1" applyNumberFormat="1" applyFont="1" applyFill="1" applyBorder="1"/>
    <xf numFmtId="41" fontId="6" fillId="0" borderId="19" xfId="1" applyNumberFormat="1" applyFont="1" applyFill="1" applyBorder="1"/>
    <xf numFmtId="0" fontId="0" fillId="0" borderId="18" xfId="0" applyBorder="1"/>
    <xf numFmtId="41" fontId="8" fillId="0" borderId="4" xfId="1" applyNumberFormat="1" applyFont="1" applyFill="1" applyBorder="1"/>
    <xf numFmtId="0" fontId="32" fillId="0" borderId="0" xfId="0" applyFont="1"/>
    <xf numFmtId="0" fontId="6" fillId="0" borderId="9" xfId="0" applyFont="1" applyBorder="1" applyAlignment="1">
      <alignment horizontal="left" indent="2"/>
    </xf>
    <xf numFmtId="41" fontId="8" fillId="0" borderId="0" xfId="0" applyNumberFormat="1" applyFont="1"/>
    <xf numFmtId="0" fontId="33" fillId="0" borderId="0" xfId="0" applyFont="1" applyFill="1" applyAlignment="1">
      <alignment horizontal="left" indent="1"/>
    </xf>
    <xf numFmtId="42" fontId="33" fillId="0" borderId="4" xfId="1" applyNumberFormat="1" applyFont="1" applyFill="1" applyBorder="1"/>
    <xf numFmtId="42" fontId="13" fillId="0" borderId="22" xfId="1" applyNumberFormat="1" applyFont="1" applyFill="1" applyBorder="1"/>
    <xf numFmtId="41" fontId="16" fillId="3" borderId="5" xfId="1" applyNumberFormat="1" applyFont="1" applyFill="1" applyBorder="1" applyAlignment="1">
      <alignment horizontal="center" wrapText="1"/>
    </xf>
    <xf numFmtId="0" fontId="22" fillId="5" borderId="7" xfId="0" applyFont="1" applyFill="1" applyBorder="1" applyAlignment="1">
      <alignment horizontal="center" vertical="center"/>
    </xf>
    <xf numFmtId="0" fontId="22" fillId="5" borderId="8" xfId="0" applyFont="1" applyFill="1" applyBorder="1" applyAlignment="1">
      <alignment horizontal="center" vertical="center"/>
    </xf>
    <xf numFmtId="0" fontId="38" fillId="3" borderId="15" xfId="0" applyFont="1" applyFill="1" applyBorder="1" applyAlignment="1">
      <alignment horizontal="center"/>
    </xf>
    <xf numFmtId="0" fontId="38" fillId="3" borderId="16" xfId="0" applyFont="1" applyFill="1" applyBorder="1" applyAlignment="1">
      <alignment horizontal="center"/>
    </xf>
    <xf numFmtId="0" fontId="38" fillId="3" borderId="14" xfId="0" applyFont="1" applyFill="1" applyBorder="1" applyAlignment="1">
      <alignment horizontal="center"/>
    </xf>
    <xf numFmtId="9" fontId="8" fillId="0" borderId="3" xfId="0" applyNumberFormat="1" applyFont="1" applyBorder="1" applyAlignment="1">
      <alignment horizontal="center"/>
    </xf>
    <xf numFmtId="167" fontId="6" fillId="0" borderId="5" xfId="1" applyNumberFormat="1" applyFont="1" applyBorder="1" applyAlignment="1">
      <alignment horizontal="center"/>
    </xf>
    <xf numFmtId="167" fontId="7" fillId="0" borderId="5" xfId="0" applyNumberFormat="1" applyFont="1" applyBorder="1" applyAlignment="1">
      <alignment horizontal="center"/>
    </xf>
    <xf numFmtId="167" fontId="7" fillId="0" borderId="17" xfId="0" applyNumberFormat="1" applyFont="1" applyBorder="1" applyAlignment="1">
      <alignment horizontal="center"/>
    </xf>
    <xf numFmtId="167" fontId="6" fillId="0" borderId="2" xfId="1" applyNumberFormat="1" applyFont="1" applyBorder="1" applyAlignment="1">
      <alignment horizontal="center"/>
    </xf>
    <xf numFmtId="167" fontId="12" fillId="6" borderId="21" xfId="0" applyNumberFormat="1" applyFont="1" applyFill="1" applyBorder="1" applyAlignment="1">
      <alignment horizontal="center"/>
    </xf>
    <xf numFmtId="167" fontId="6" fillId="0" borderId="3" xfId="1" applyNumberFormat="1" applyFont="1" applyBorder="1" applyAlignment="1">
      <alignment horizontal="center"/>
    </xf>
    <xf numFmtId="167" fontId="7" fillId="0" borderId="16" xfId="0" applyNumberFormat="1" applyFont="1" applyBorder="1" applyAlignment="1">
      <alignment horizontal="center"/>
    </xf>
    <xf numFmtId="9" fontId="8" fillId="0" borderId="8" xfId="0" applyNumberFormat="1" applyFont="1" applyBorder="1" applyAlignment="1">
      <alignment horizontal="center"/>
    </xf>
    <xf numFmtId="164" fontId="6" fillId="0" borderId="5" xfId="1" applyNumberFormat="1" applyFont="1" applyBorder="1" applyAlignment="1">
      <alignment horizontal="center"/>
    </xf>
    <xf numFmtId="164" fontId="6" fillId="0" borderId="2" xfId="1" applyNumberFormat="1" applyFont="1" applyBorder="1" applyAlignment="1">
      <alignment horizontal="center"/>
    </xf>
    <xf numFmtId="41" fontId="6" fillId="0" borderId="5" xfId="1" applyNumberFormat="1" applyFont="1" applyBorder="1" applyAlignment="1">
      <alignment horizontal="center"/>
    </xf>
    <xf numFmtId="41" fontId="6" fillId="0" borderId="2" xfId="1" applyNumberFormat="1" applyFont="1" applyBorder="1" applyAlignment="1">
      <alignment horizontal="center"/>
    </xf>
    <xf numFmtId="41" fontId="6" fillId="0" borderId="17" xfId="1" applyNumberFormat="1" applyFont="1" applyBorder="1" applyAlignment="1">
      <alignment horizontal="center"/>
    </xf>
    <xf numFmtId="41" fontId="6" fillId="7" borderId="5" xfId="1" applyNumberFormat="1" applyFont="1" applyFill="1" applyBorder="1" applyAlignment="1">
      <alignment horizontal="center"/>
    </xf>
    <xf numFmtId="41" fontId="6" fillId="0" borderId="3" xfId="1" applyNumberFormat="1" applyFont="1" applyBorder="1" applyAlignment="1">
      <alignment horizontal="center"/>
    </xf>
    <xf numFmtId="41" fontId="6" fillId="0" borderId="16" xfId="1" applyNumberFormat="1" applyFont="1" applyBorder="1" applyAlignment="1">
      <alignment horizontal="center"/>
    </xf>
    <xf numFmtId="0" fontId="6" fillId="0" borderId="0" xfId="0" applyFont="1" applyAlignment="1">
      <alignment horizontal="left" vertical="center"/>
    </xf>
    <xf numFmtId="170" fontId="6" fillId="0" borderId="0" xfId="0" applyNumberFormat="1" applyFont="1" applyAlignment="1">
      <alignment horizontal="left" vertical="center"/>
    </xf>
    <xf numFmtId="0" fontId="4" fillId="0" borderId="0" xfId="0" applyFont="1" applyBorder="1" applyAlignment="1">
      <alignment horizontal="left" vertical="center"/>
    </xf>
    <xf numFmtId="0" fontId="5" fillId="0" borderId="5" xfId="0" applyFont="1" applyBorder="1" applyAlignment="1">
      <alignment horizontal="center" vertical="center"/>
    </xf>
    <xf numFmtId="0" fontId="27" fillId="5" borderId="11" xfId="0" applyFont="1" applyFill="1" applyBorder="1" applyAlignment="1">
      <alignment horizontal="center"/>
    </xf>
    <xf numFmtId="0" fontId="27" fillId="5" borderId="8" xfId="0" applyFont="1" applyFill="1" applyBorder="1" applyAlignment="1">
      <alignment horizontal="center"/>
    </xf>
    <xf numFmtId="8" fontId="7" fillId="4" borderId="0" xfId="0" applyNumberFormat="1" applyFont="1" applyFill="1" applyBorder="1"/>
    <xf numFmtId="0" fontId="7" fillId="0" borderId="4" xfId="0" applyFont="1" applyBorder="1" applyAlignment="1">
      <alignment horizontal="left" vertical="top" wrapText="1"/>
    </xf>
    <xf numFmtId="0" fontId="7" fillId="0" borderId="4" xfId="0" applyFont="1" applyBorder="1"/>
    <xf numFmtId="0" fontId="7" fillId="0" borderId="15" xfId="0" applyFont="1" applyBorder="1"/>
    <xf numFmtId="165" fontId="6" fillId="0" borderId="4" xfId="1" applyNumberFormat="1" applyFont="1" applyBorder="1" applyAlignment="1">
      <alignment horizontal="left"/>
    </xf>
    <xf numFmtId="9" fontId="6" fillId="0" borderId="4" xfId="2" applyFont="1" applyBorder="1" applyAlignment="1">
      <alignment horizontal="left"/>
    </xf>
    <xf numFmtId="9" fontId="7" fillId="0" borderId="4" xfId="2" applyFont="1" applyBorder="1" applyAlignment="1">
      <alignment horizontal="left" vertical="top"/>
    </xf>
    <xf numFmtId="165" fontId="7" fillId="0" borderId="4" xfId="1" applyNumberFormat="1" applyFont="1" applyBorder="1" applyAlignment="1">
      <alignment horizontal="left" vertical="top"/>
    </xf>
    <xf numFmtId="0" fontId="8" fillId="0" borderId="11" xfId="0" applyFont="1" applyBorder="1" applyAlignment="1">
      <alignment horizontal="left" vertical="center"/>
    </xf>
    <xf numFmtId="0" fontId="7" fillId="0" borderId="8" xfId="1" applyNumberFormat="1" applyFont="1" applyBorder="1" applyAlignment="1">
      <alignment horizontal="left" vertical="top"/>
    </xf>
    <xf numFmtId="166" fontId="6" fillId="0" borderId="4" xfId="2" applyNumberFormat="1" applyFont="1" applyBorder="1"/>
    <xf numFmtId="0" fontId="7" fillId="0" borderId="4" xfId="0" applyFont="1" applyBorder="1" applyAlignment="1">
      <alignment wrapText="1"/>
    </xf>
    <xf numFmtId="0" fontId="8" fillId="0" borderId="9" xfId="0" applyFont="1" applyBorder="1" applyAlignment="1">
      <alignment horizontal="left" vertical="center" wrapText="1"/>
    </xf>
    <xf numFmtId="49" fontId="6" fillId="0" borderId="4" xfId="0" applyNumberFormat="1" applyFont="1" applyBorder="1" applyAlignment="1">
      <alignment horizontal="left" vertical="center" wrapText="1"/>
    </xf>
    <xf numFmtId="0" fontId="8" fillId="0" borderId="14" xfId="0" applyFont="1" applyBorder="1" applyAlignment="1">
      <alignment horizontal="left" vertical="center"/>
    </xf>
    <xf numFmtId="9" fontId="7" fillId="0" borderId="15" xfId="2" applyNumberFormat="1" applyFont="1" applyBorder="1" applyAlignment="1">
      <alignment horizontal="left" vertical="top"/>
    </xf>
    <xf numFmtId="0" fontId="37" fillId="0" borderId="0" xfId="0" applyFont="1"/>
    <xf numFmtId="0" fontId="5" fillId="0" borderId="1" xfId="0" applyFont="1" applyBorder="1" applyAlignment="1">
      <alignment wrapText="1"/>
    </xf>
    <xf numFmtId="0" fontId="5" fillId="0" borderId="1" xfId="0" applyFont="1" applyBorder="1" applyAlignment="1">
      <alignment horizontal="center" vertical="center" wrapText="1"/>
    </xf>
    <xf numFmtId="0" fontId="4" fillId="0" borderId="1" xfId="0" applyFont="1" applyBorder="1" applyAlignment="1">
      <alignment horizontal="center" wrapText="1"/>
    </xf>
    <xf numFmtId="0" fontId="4" fillId="0" borderId="1" xfId="0" applyFont="1" applyFill="1" applyBorder="1" applyAlignment="1">
      <alignment wrapText="1"/>
    </xf>
    <xf numFmtId="0" fontId="4" fillId="0" borderId="1" xfId="0" applyFont="1" applyFill="1" applyBorder="1"/>
    <xf numFmtId="0" fontId="4" fillId="0" borderId="1" xfId="0" applyFont="1" applyFill="1" applyBorder="1" applyAlignment="1">
      <alignment horizontal="center" vertical="center" wrapText="1"/>
    </xf>
    <xf numFmtId="0" fontId="13" fillId="0" borderId="1" xfId="0" applyFont="1" applyFill="1" applyBorder="1" applyAlignment="1">
      <alignment horizontal="center" vertical="top"/>
    </xf>
    <xf numFmtId="0" fontId="13" fillId="0" borderId="1" xfId="0" applyFont="1" applyFill="1" applyBorder="1" applyAlignment="1">
      <alignment horizontal="center" vertical="center"/>
    </xf>
    <xf numFmtId="0" fontId="13" fillId="0" borderId="1" xfId="0" applyFont="1" applyFill="1" applyBorder="1" applyAlignment="1">
      <alignment horizontal="center"/>
    </xf>
    <xf numFmtId="0" fontId="35" fillId="0" borderId="13" xfId="0" applyFont="1" applyFill="1" applyBorder="1" applyAlignment="1">
      <alignment horizontal="center" vertical="top"/>
    </xf>
    <xf numFmtId="0" fontId="35" fillId="0" borderId="13" xfId="0" applyFont="1" applyFill="1" applyBorder="1" applyAlignment="1">
      <alignment horizontal="center"/>
    </xf>
    <xf numFmtId="0" fontId="33" fillId="0" borderId="0" xfId="0" applyFont="1" applyAlignment="1">
      <alignment horizontal="left" vertical="top" wrapText="1"/>
    </xf>
    <xf numFmtId="0" fontId="33" fillId="0" borderId="0" xfId="0" applyFont="1" applyFill="1" applyAlignment="1">
      <alignment horizontal="left" vertical="top"/>
    </xf>
    <xf numFmtId="10" fontId="33" fillId="0" borderId="0" xfId="1" applyNumberFormat="1" applyFont="1" applyFill="1" applyAlignment="1">
      <alignment horizontal="center"/>
    </xf>
    <xf numFmtId="0" fontId="5" fillId="0" borderId="1" xfId="0" applyFont="1" applyBorder="1" applyAlignment="1">
      <alignment horizontal="left" vertical="center" wrapText="1"/>
    </xf>
    <xf numFmtId="0" fontId="5" fillId="0" borderId="19" xfId="0" applyFont="1" applyBorder="1" applyAlignment="1">
      <alignment horizontal="center" vertical="center"/>
    </xf>
    <xf numFmtId="0" fontId="4" fillId="0" borderId="1" xfId="0" applyFont="1" applyBorder="1" applyAlignment="1">
      <alignment horizontal="left" vertical="center"/>
    </xf>
    <xf numFmtId="0" fontId="5" fillId="0" borderId="1" xfId="0" applyFont="1" applyBorder="1" applyAlignment="1">
      <alignment horizontal="left" vertical="center"/>
    </xf>
    <xf numFmtId="0" fontId="6" fillId="0" borderId="9" xfId="0" applyFont="1" applyBorder="1" applyAlignment="1">
      <alignment horizontal="left"/>
    </xf>
    <xf numFmtId="0" fontId="6" fillId="3" borderId="9" xfId="0" applyFont="1" applyFill="1" applyBorder="1" applyAlignment="1">
      <alignment horizontal="left" vertical="center"/>
    </xf>
    <xf numFmtId="9" fontId="7" fillId="2" borderId="4" xfId="2" applyFont="1" applyFill="1" applyBorder="1" applyAlignment="1">
      <alignment horizontal="right" indent="1"/>
    </xf>
    <xf numFmtId="1" fontId="7" fillId="2" borderId="4" xfId="0" applyNumberFormat="1" applyFont="1" applyFill="1" applyBorder="1" applyAlignment="1">
      <alignment horizontal="right" indent="1"/>
    </xf>
    <xf numFmtId="41" fontId="6" fillId="2" borderId="4" xfId="1" applyNumberFormat="1" applyFont="1" applyFill="1" applyBorder="1" applyAlignment="1">
      <alignment horizontal="right"/>
    </xf>
    <xf numFmtId="41" fontId="6" fillId="2" borderId="4" xfId="1" applyNumberFormat="1" applyFont="1" applyFill="1" applyBorder="1"/>
    <xf numFmtId="41" fontId="6" fillId="3" borderId="4" xfId="2" applyNumberFormat="1" applyFont="1" applyFill="1" applyBorder="1" applyAlignment="1">
      <alignment horizontal="right" vertical="center"/>
    </xf>
    <xf numFmtId="41" fontId="6" fillId="0" borderId="4" xfId="1" applyNumberFormat="1" applyFont="1" applyBorder="1"/>
    <xf numFmtId="41" fontId="6" fillId="4" borderId="4" xfId="1" applyNumberFormat="1" applyFont="1" applyFill="1" applyBorder="1"/>
    <xf numFmtId="41" fontId="6" fillId="0" borderId="4" xfId="0" applyNumberFormat="1" applyFont="1" applyBorder="1"/>
    <xf numFmtId="0" fontId="6" fillId="0" borderId="11" xfId="0" applyFont="1" applyBorder="1"/>
    <xf numFmtId="42" fontId="6" fillId="2" borderId="8" xfId="1" applyNumberFormat="1" applyFont="1" applyFill="1" applyBorder="1"/>
    <xf numFmtId="0" fontId="6" fillId="0" borderId="14" xfId="0" applyFont="1" applyBorder="1"/>
    <xf numFmtId="0" fontId="6" fillId="2" borderId="15" xfId="0" applyFont="1" applyFill="1" applyBorder="1"/>
    <xf numFmtId="0" fontId="18" fillId="0" borderId="11" xfId="0" applyFont="1" applyBorder="1" applyAlignment="1">
      <alignment horizontal="left" indent="1"/>
    </xf>
    <xf numFmtId="165" fontId="6" fillId="0" borderId="7" xfId="1" applyNumberFormat="1" applyFont="1" applyFill="1" applyBorder="1"/>
    <xf numFmtId="0" fontId="18" fillId="0" borderId="7" xfId="0" applyFont="1" applyBorder="1" applyAlignment="1">
      <alignment horizontal="left" indent="1"/>
    </xf>
    <xf numFmtId="166" fontId="6" fillId="0" borderId="8" xfId="1" applyNumberFormat="1" applyFont="1" applyFill="1" applyBorder="1"/>
    <xf numFmtId="0" fontId="16" fillId="3" borderId="5" xfId="0" applyFont="1" applyFill="1" applyBorder="1" applyAlignment="1">
      <alignment horizontal="center" vertical="center" wrapText="1"/>
    </xf>
    <xf numFmtId="0" fontId="27" fillId="5" borderId="5" xfId="0" applyFont="1" applyFill="1" applyBorder="1" applyAlignment="1">
      <alignment horizontal="center" vertical="center" wrapText="1"/>
    </xf>
    <xf numFmtId="0" fontId="8" fillId="0" borderId="5" xfId="0" applyFont="1" applyFill="1" applyBorder="1" applyAlignment="1">
      <alignment horizontal="center" vertical="center" wrapText="1"/>
    </xf>
    <xf numFmtId="42" fontId="8" fillId="0" borderId="5" xfId="1" applyNumberFormat="1" applyFont="1" applyFill="1" applyBorder="1" applyAlignment="1">
      <alignment horizontal="center" vertical="center" wrapText="1"/>
    </xf>
    <xf numFmtId="0" fontId="27" fillId="5" borderId="17" xfId="0" applyFont="1" applyFill="1" applyBorder="1" applyAlignment="1">
      <alignment horizontal="center" vertical="center"/>
    </xf>
    <xf numFmtId="0" fontId="6" fillId="0" borderId="11" xfId="0" applyFont="1" applyBorder="1" applyAlignment="1">
      <alignment horizontal="left" vertical="top"/>
    </xf>
    <xf numFmtId="167" fontId="6" fillId="0" borderId="17" xfId="0" applyNumberFormat="1" applyFont="1" applyBorder="1" applyAlignment="1">
      <alignment horizontal="center" vertical="center"/>
    </xf>
    <xf numFmtId="169" fontId="6" fillId="0" borderId="17" xfId="2" applyNumberFormat="1" applyFont="1" applyBorder="1" applyAlignment="1">
      <alignment horizontal="center" vertical="center"/>
    </xf>
    <xf numFmtId="9" fontId="6" fillId="0" borderId="17" xfId="2" applyNumberFormat="1" applyFont="1" applyBorder="1" applyAlignment="1">
      <alignment horizontal="center" vertical="center"/>
    </xf>
    <xf numFmtId="0" fontId="6" fillId="0" borderId="17" xfId="0" applyFont="1" applyBorder="1" applyAlignment="1">
      <alignment horizontal="center" vertical="center"/>
    </xf>
    <xf numFmtId="184" fontId="6" fillId="0" borderId="17" xfId="2" applyNumberFormat="1" applyFont="1" applyBorder="1" applyAlignment="1">
      <alignment horizontal="center" vertical="center"/>
    </xf>
    <xf numFmtId="10" fontId="6" fillId="0" borderId="17" xfId="2" applyNumberFormat="1" applyFont="1" applyBorder="1" applyAlignment="1">
      <alignment horizontal="center" vertical="center"/>
    </xf>
    <xf numFmtId="0" fontId="6" fillId="3" borderId="2" xfId="0" applyFont="1" applyFill="1" applyBorder="1" applyAlignment="1">
      <alignment horizontal="left" vertical="top"/>
    </xf>
    <xf numFmtId="10" fontId="6" fillId="3" borderId="5" xfId="1" applyNumberFormat="1" applyFont="1" applyFill="1" applyBorder="1" applyAlignment="1">
      <alignment horizontal="center"/>
    </xf>
    <xf numFmtId="0" fontId="4" fillId="0" borderId="9" xfId="0" applyFont="1" applyBorder="1"/>
    <xf numFmtId="41" fontId="5" fillId="0" borderId="4" xfId="1" applyNumberFormat="1" applyFont="1" applyBorder="1"/>
    <xf numFmtId="41" fontId="5" fillId="0" borderId="4" xfId="0" applyNumberFormat="1" applyFont="1" applyBorder="1"/>
    <xf numFmtId="164" fontId="5" fillId="0" borderId="8" xfId="0" applyNumberFormat="1" applyFont="1" applyBorder="1"/>
    <xf numFmtId="0" fontId="4" fillId="3" borderId="14" xfId="0" applyFont="1" applyFill="1" applyBorder="1"/>
    <xf numFmtId="0" fontId="5" fillId="3" borderId="1" xfId="0" applyFont="1" applyFill="1" applyBorder="1"/>
    <xf numFmtId="0" fontId="4" fillId="3" borderId="1" xfId="0" applyFont="1" applyFill="1" applyBorder="1"/>
    <xf numFmtId="164" fontId="4" fillId="3" borderId="15" xfId="0" applyNumberFormat="1" applyFont="1" applyFill="1" applyBorder="1"/>
  </cellXfs>
  <cellStyles count="3">
    <cellStyle name="Currency" xfId="1" builtinId="4"/>
    <cellStyle name="Normal" xfId="0" builtinId="0"/>
    <cellStyle name="Percent" xfId="2" builtinId="5"/>
  </cellStyles>
  <dxfs count="60">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3" tint="0.89996032593768116"/>
        </patternFill>
      </fill>
    </dxf>
    <dxf>
      <fill>
        <patternFill>
          <bgColor theme="9" tint="0.79998168889431442"/>
        </patternFill>
      </fill>
    </dxf>
    <dxf>
      <fill>
        <patternFill>
          <bgColor rgb="FFFFC7CE"/>
        </patternFill>
      </fill>
    </dxf>
    <dxf>
      <fill>
        <patternFill>
          <bgColor rgb="FFFFC7CE"/>
        </patternFill>
      </fill>
    </dxf>
    <dxf>
      <font>
        <b/>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0"/>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Times New Roman"/>
        <family val="1"/>
        <scheme val="none"/>
      </font>
    </dxf>
    <dxf>
      <font>
        <b/>
        <strike val="0"/>
        <outline val="0"/>
        <shadow val="0"/>
        <u val="none"/>
        <vertAlign val="baseline"/>
        <sz val="12"/>
        <color theme="0"/>
        <name val="Times New Roman"/>
        <family val="1"/>
        <scheme val="none"/>
      </font>
      <fill>
        <patternFill patternType="solid">
          <fgColor indexed="64"/>
          <bgColor theme="3"/>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Times New Roman"/>
        <family val="1"/>
        <scheme val="none"/>
      </font>
      <numFmt numFmtId="164" formatCode="_(&quot;$&quot;* #,##0_);_(&quot;$&quot;* \(#,##0\);_(&quot;$&quot;* &quot;-&quot;??_);_(@_)"/>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Times New Roman"/>
        <family val="1"/>
        <scheme val="none"/>
      </font>
      <numFmt numFmtId="164" formatCode="_(&quot;$&quot;* #,##0_);_(&quot;$&quot;* \(#,##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Times New Roman"/>
        <family val="1"/>
        <scheme val="none"/>
      </font>
      <numFmt numFmtId="33" formatCode="_(* #,##0_);_(* \(#,##0\);_(*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Times New Roman"/>
        <family val="1"/>
        <scheme val="none"/>
      </font>
      <numFmt numFmtId="164" formatCode="_(&quot;$&quot;* #,##0_);_(&quot;$&quot;* \(#,##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Times New Roman"/>
        <family val="1"/>
        <scheme val="none"/>
      </font>
      <numFmt numFmtId="164" formatCode="_(&quot;$&quot;* #,##0_);_(&quot;$&quot;* \(#,##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Times New Roman"/>
        <family val="1"/>
        <scheme val="none"/>
      </font>
      <numFmt numFmtId="13" formatCode="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1"/>
        <color theme="3"/>
        <name val="Times New Roman"/>
        <family val="1"/>
        <scheme val="none"/>
      </font>
      <fill>
        <patternFill patternType="solid">
          <fgColor indexed="64"/>
          <bgColor theme="3" tint="0.89999084444715716"/>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Times New Roman"/>
        <family val="1"/>
        <scheme val="none"/>
      </font>
      <numFmt numFmtId="167" formatCode="0.00\x"/>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Times New Roman"/>
        <family val="1"/>
        <scheme val="none"/>
      </font>
      <numFmt numFmtId="167" formatCode="0.00\x"/>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Times New Roman"/>
        <family val="1"/>
        <scheme val="none"/>
      </font>
      <numFmt numFmtId="167" formatCode="0.00\x"/>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Times New Roman"/>
        <family val="1"/>
        <scheme val="none"/>
      </font>
      <numFmt numFmtId="167" formatCode="0.00\x"/>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Times New Roman"/>
        <family val="1"/>
        <scheme val="none"/>
      </font>
      <numFmt numFmtId="167" formatCode="0.00\x"/>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Times New Roman"/>
        <family val="1"/>
        <scheme val="none"/>
      </font>
      <numFmt numFmtId="13" formatCode="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bottom style="thin">
          <color auto="1"/>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name val="Times New Roman"/>
        <family val="1"/>
        <scheme val="none"/>
      </font>
      <fill>
        <patternFill>
          <fgColor indexed="64"/>
          <bgColor theme="0"/>
        </patternFill>
      </fill>
    </dxf>
    <dxf>
      <numFmt numFmtId="164" formatCode="_(&quot;$&quot;* #,##0_);_(&quot;$&quot;* \(#,##0\);_(&quot;$&quot;* &quot;-&quot;??_);_(@_)"/>
    </dxf>
    <dxf>
      <font>
        <b val="0"/>
        <i val="0"/>
        <strike val="0"/>
        <condense val="0"/>
        <extend val="0"/>
        <outline val="0"/>
        <shadow val="0"/>
        <u val="none"/>
        <vertAlign val="baseline"/>
        <sz val="11"/>
        <color rgb="FF000000"/>
        <name val="Times New Roman"/>
        <family val="1"/>
        <scheme val="none"/>
      </font>
      <alignment horizontal="general" vertical="center" textRotation="0" wrapText="1" indent="0" justifyLastLine="0" shrinkToFit="0" readingOrder="0"/>
      <border diagonalUp="0" diagonalDown="0" outline="0">
        <left/>
        <right/>
        <top/>
        <bottom style="medium">
          <color rgb="FF000000"/>
        </bottom>
      </border>
    </dxf>
    <dxf>
      <font>
        <b val="0"/>
        <i val="0"/>
        <strike val="0"/>
        <condense val="0"/>
        <extend val="0"/>
        <outline val="0"/>
        <shadow val="0"/>
        <u val="none"/>
        <vertAlign val="baseline"/>
        <sz val="12"/>
        <color rgb="FF000000"/>
        <name val="Times New Roman"/>
        <family val="1"/>
        <scheme val="none"/>
      </font>
      <numFmt numFmtId="165" formatCode="&quot;$&quot;#,##0"/>
      <fill>
        <patternFill>
          <fgColor indexed="64"/>
          <bgColor theme="0"/>
        </patternFill>
      </fill>
    </dxf>
    <dxf>
      <font>
        <b val="0"/>
        <i val="0"/>
        <strike val="0"/>
        <condense val="0"/>
        <extend val="0"/>
        <outline val="0"/>
        <shadow val="0"/>
        <u val="none"/>
        <vertAlign val="baseline"/>
        <sz val="12"/>
        <color rgb="FF000000"/>
        <name val="Times New Roman"/>
        <family val="1"/>
        <scheme val="none"/>
      </font>
      <numFmt numFmtId="165" formatCode="&quot;$&quot;#,##0"/>
      <fill>
        <patternFill>
          <fgColor indexed="64"/>
          <bgColor theme="0"/>
        </patternFill>
      </fill>
    </dxf>
    <dxf>
      <font>
        <strike val="0"/>
        <outline val="0"/>
        <shadow val="0"/>
        <u val="none"/>
        <vertAlign val="baseline"/>
        <name val="Times New Roman"/>
        <family val="1"/>
        <scheme val="none"/>
      </font>
      <fill>
        <patternFill>
          <fgColor indexed="64"/>
          <bgColor theme="0"/>
        </patternFill>
      </fill>
    </dxf>
    <dxf>
      <font>
        <strike val="0"/>
        <outline val="0"/>
        <shadow val="0"/>
        <u val="none"/>
        <vertAlign val="baseline"/>
        <name val="Times New Roman"/>
        <family val="1"/>
        <scheme val="none"/>
      </font>
      <fill>
        <patternFill>
          <fgColor indexed="64"/>
          <bgColor theme="0"/>
        </patternFill>
      </fill>
    </dxf>
    <dxf>
      <font>
        <b val="0"/>
        <i val="0"/>
        <strike val="0"/>
        <condense val="0"/>
        <extend val="0"/>
        <outline val="0"/>
        <shadow val="0"/>
        <u val="none"/>
        <vertAlign val="baseline"/>
        <sz val="12"/>
        <color rgb="FF000000"/>
        <name val="Times New Roman"/>
        <family val="1"/>
        <scheme val="none"/>
      </font>
      <numFmt numFmtId="165" formatCode="&quot;$&quot;#,##0"/>
      <fill>
        <patternFill>
          <fgColor indexed="64"/>
          <bgColor theme="0"/>
        </patternFill>
      </fill>
    </dxf>
    <dxf>
      <font>
        <b val="0"/>
        <i val="0"/>
        <strike val="0"/>
        <condense val="0"/>
        <extend val="0"/>
        <outline val="0"/>
        <shadow val="0"/>
        <u val="none"/>
        <vertAlign val="baseline"/>
        <sz val="12"/>
        <color rgb="FF000000"/>
        <name val="Times New Roman"/>
        <family val="1"/>
        <scheme val="none"/>
      </font>
      <numFmt numFmtId="165" formatCode="&quot;$&quot;#,##0"/>
      <fill>
        <patternFill>
          <fgColor indexed="64"/>
          <bgColor theme="0"/>
        </patternFill>
      </fill>
    </dxf>
    <dxf>
      <font>
        <b val="0"/>
        <i val="0"/>
        <strike val="0"/>
        <condense val="0"/>
        <extend val="0"/>
        <outline val="0"/>
        <shadow val="0"/>
        <u val="none"/>
        <vertAlign val="baseline"/>
        <sz val="12"/>
        <color rgb="FF000000"/>
        <name val="Times New Roman"/>
        <family val="1"/>
        <scheme val="none"/>
      </font>
      <fill>
        <patternFill>
          <fgColor indexed="64"/>
          <bgColor theme="0"/>
        </patternFill>
      </fill>
    </dxf>
    <dxf>
      <font>
        <b/>
        <i val="0"/>
        <strike val="0"/>
        <condense val="0"/>
        <extend val="0"/>
        <outline val="0"/>
        <shadow val="0"/>
        <u val="none"/>
        <vertAlign val="baseline"/>
        <sz val="12"/>
        <color theme="3"/>
        <name val="Times New Roman"/>
        <family val="1"/>
        <scheme val="none"/>
      </font>
      <fill>
        <patternFill patternType="solid">
          <fgColor indexed="64"/>
          <bgColor theme="3" tint="0.89999084444715716"/>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Times New Roman"/>
        <family val="1"/>
        <scheme val="none"/>
      </font>
      <numFmt numFmtId="10" formatCode="&quot;$&quot;#,##0_);[Red]\(&quot;$&quot;#,##0\)"/>
      <fill>
        <patternFill patternType="solid">
          <fgColor indexed="64"/>
          <bgColor theme="3"/>
        </patternFill>
      </fill>
      <alignment horizontal="justify" vertical="center" textRotation="0" wrapText="1" indent="0" justifyLastLine="0" shrinkToFit="0" readingOrder="0"/>
      <border diagonalUp="0" diagonalDown="0" outline="0">
        <left/>
        <right/>
        <top/>
        <bottom style="medium">
          <color rgb="FF000000"/>
        </bottom>
      </border>
    </dxf>
    <dxf>
      <font>
        <b/>
        <i val="0"/>
        <strike val="0"/>
        <condense val="0"/>
        <extend val="0"/>
        <outline val="0"/>
        <shadow val="0"/>
        <u val="none"/>
        <vertAlign val="baseline"/>
        <sz val="11"/>
        <color theme="0"/>
        <name val="Times New Roman"/>
        <family val="1"/>
        <scheme val="none"/>
      </font>
      <fill>
        <patternFill patternType="solid">
          <fgColor indexed="64"/>
          <bgColor theme="3"/>
        </patternFill>
      </fill>
      <alignment horizontal="general" vertical="center" textRotation="0" wrapText="1" indent="0" justifyLastLine="0" shrinkToFit="0" readingOrder="0"/>
      <border diagonalUp="0" diagonalDown="0" outline="0">
        <left/>
        <right/>
        <top/>
        <bottom style="medium">
          <color rgb="FF000000"/>
        </bottom>
      </border>
    </dxf>
    <dxf>
      <border outline="0">
        <left style="medium">
          <color rgb="FF000000"/>
        </left>
        <right style="medium">
          <color rgb="FF000000"/>
        </right>
        <top style="medium">
          <color rgb="FF000000"/>
        </top>
        <bottom style="medium">
          <color rgb="FF000000"/>
        </bottom>
      </border>
    </dxf>
    <dxf>
      <border outline="0">
        <bottom style="medium">
          <color rgb="FF000000"/>
        </bottom>
      </border>
    </dxf>
    <dxf>
      <font>
        <strike val="0"/>
        <outline val="0"/>
        <shadow val="0"/>
        <u val="none"/>
        <vertAlign val="baseline"/>
        <sz val="10"/>
        <name val="Times New Roman"/>
        <family val="1"/>
        <scheme val="none"/>
      </font>
    </dxf>
    <dxf>
      <font>
        <b/>
        <i val="0"/>
        <strike val="0"/>
        <condense val="0"/>
        <extend val="0"/>
        <outline val="0"/>
        <shadow val="0"/>
        <u val="none"/>
        <vertAlign val="baseline"/>
        <sz val="12"/>
        <color theme="1"/>
        <name val="Times New Roman"/>
        <family val="1"/>
        <scheme val="none"/>
      </font>
      <fill>
        <patternFill patternType="solid">
          <fgColor indexed="64"/>
          <bgColor theme="2" tint="-0.249977111117893"/>
        </patternFill>
      </fill>
      <alignment horizontal="center" vertical="bottom" textRotation="0" wrapText="0"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0"/>
        <color theme="1"/>
        <name val="Times New Roman"/>
        <family val="1"/>
        <scheme val="none"/>
      </font>
    </dxf>
    <dxf>
      <font>
        <b/>
        <i val="0"/>
        <strike val="0"/>
        <condense val="0"/>
        <extend val="0"/>
        <outline val="0"/>
        <shadow val="0"/>
        <u val="none"/>
        <vertAlign val="baseline"/>
        <sz val="12"/>
        <color theme="1"/>
        <name val="Times New Roman"/>
        <family val="1"/>
        <scheme val="none"/>
      </font>
      <fill>
        <patternFill patternType="solid">
          <fgColor indexed="64"/>
          <bgColor theme="2" tint="-0.249977111117893"/>
        </patternFill>
      </fill>
      <alignment horizontal="center" vertical="bottom" textRotation="0" wrapText="0" indent="0" justifyLastLine="0" shrinkToFit="0" readingOrder="0"/>
      <border diagonalUp="0" diagonalDown="0" outline="0">
        <left style="thin">
          <color theme="1"/>
        </left>
        <right/>
        <top/>
        <bottom/>
      </border>
    </dxf>
    <dxf>
      <font>
        <strike val="0"/>
        <outline val="0"/>
        <shadow val="0"/>
        <u val="none"/>
        <vertAlign val="baseline"/>
        <sz val="10"/>
        <name val="Times New Roman"/>
        <family val="1"/>
        <scheme val="none"/>
      </font>
    </dxf>
    <dxf>
      <font>
        <b/>
        <i val="0"/>
        <strike val="0"/>
        <condense val="0"/>
        <extend val="0"/>
        <outline val="0"/>
        <shadow val="0"/>
        <u val="none"/>
        <vertAlign val="baseline"/>
        <sz val="12"/>
        <color theme="1"/>
        <name val="Times New Roman"/>
        <family val="1"/>
        <scheme val="none"/>
      </font>
      <fill>
        <patternFill patternType="solid">
          <fgColor indexed="64"/>
          <bgColor theme="2" tint="-0.249977111117893"/>
        </patternFill>
      </fill>
      <alignment horizontal="center" vertical="bottom" textRotation="0" wrapText="0" indent="0" justifyLastLine="0" shrinkToFit="0" readingOrder="0"/>
    </dxf>
    <dxf>
      <fill>
        <patternFill>
          <bgColor theme="2" tint="-9.9948118533890809E-2"/>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2" xr9:uid="{2C6913C7-8C53-8442-8691-CB77BC207D9B}">
      <tableStyleElement type="wholeTable" dxfId="59"/>
      <tableStyleElement type="headerRow" dxfId="58"/>
    </tableStyle>
  </tableStyles>
  <colors>
    <mruColors>
      <color rgb="FFF79E97"/>
      <color rgb="FFFFBEB4"/>
      <color rgb="FF90FF9D"/>
      <color rgb="FFFFEB84"/>
      <color rgb="FFFF71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1993636</xdr:colOff>
      <xdr:row>1</xdr:row>
      <xdr:rowOff>10078</xdr:rowOff>
    </xdr:from>
    <xdr:to>
      <xdr:col>7</xdr:col>
      <xdr:colOff>605</xdr:colOff>
      <xdr:row>21</xdr:row>
      <xdr:rowOff>120951</xdr:rowOff>
    </xdr:to>
    <xdr:sp macro="" textlink="">
      <xdr:nvSpPr>
        <xdr:cNvPr id="2" name="TextBox 1">
          <a:extLst>
            <a:ext uri="{FF2B5EF4-FFF2-40B4-BE49-F238E27FC236}">
              <a16:creationId xmlns:a16="http://schemas.microsoft.com/office/drawing/2014/main" id="{57C8B02E-AA42-F803-74F0-C469139BFB3D}"/>
            </a:ext>
          </a:extLst>
        </xdr:cNvPr>
        <xdr:cNvSpPr txBox="1"/>
      </xdr:nvSpPr>
      <xdr:spPr>
        <a:xfrm>
          <a:off x="1993636" y="327578"/>
          <a:ext cx="13615269" cy="42002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1">
              <a:solidFill>
                <a:schemeClr val="dk1"/>
              </a:solidFill>
              <a:effectLst/>
              <a:latin typeface="Times New Roman" panose="02020603050405020304" pitchFamily="18" charset="0"/>
              <a:ea typeface="+mn-ea"/>
              <a:cs typeface="Times New Roman" panose="02020603050405020304" pitchFamily="18" charset="0"/>
            </a:rPr>
            <a:t>SUMMARY</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sz="1200" b="1">
            <a:solidFill>
              <a:schemeClr val="dk1"/>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Times New Roman" panose="02020603050405020304" pitchFamily="18" charset="0"/>
              <a:ea typeface="+mn-ea"/>
              <a:cs typeface="Times New Roman" panose="02020603050405020304" pitchFamily="18" charset="0"/>
            </a:rPr>
            <a:t>Player A is seeking a $10.25M contract advance secured by a four-year, $120M guaranteed NBA contract with the ABC Basketball team. The proposed facility carries a 36-month term at 13% interest, inclusive of a 12-month deferral period followed by 24 months of principal and interest payments of $487,304 per month. Loan proceeds will be used to invest in multiple franchises.</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a:solidFill>
              <a:schemeClr val="dk1"/>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Times New Roman" panose="02020603050405020304" pitchFamily="18" charset="0"/>
              <a:ea typeface="+mn-ea"/>
              <a:cs typeface="Times New Roman" panose="02020603050405020304" pitchFamily="18" charset="0"/>
            </a:rPr>
            <a:t>On June 3, 2023, Player A signed a four-year, $120M Guaranteed NBA Contract with the ABC Basketball team, with an average annual salary of $30,000,000 for the 2023-2027 seasons. The Borrower has $86.932M remaining over the 2024-2027 seasons.</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a:solidFill>
              <a:schemeClr val="dk1"/>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Times New Roman" panose="02020603050405020304" pitchFamily="18" charset="0"/>
              <a:ea typeface="+mn-ea"/>
              <a:cs typeface="Times New Roman" panose="02020603050405020304" pitchFamily="18" charset="0"/>
            </a:rPr>
            <a:t>The deal is supported by substancial</a:t>
          </a:r>
          <a:r>
            <a:rPr lang="en-US" sz="1100" b="0" baseline="0">
              <a:solidFill>
                <a:schemeClr val="dk1"/>
              </a:solidFill>
              <a:effectLst/>
              <a:latin typeface="Times New Roman" panose="02020603050405020304" pitchFamily="18" charset="0"/>
              <a:ea typeface="+mn-ea"/>
              <a:cs typeface="Times New Roman" panose="02020603050405020304" pitchFamily="18" charset="0"/>
            </a:rPr>
            <a:t> </a:t>
          </a:r>
          <a:r>
            <a:rPr lang="en-US" sz="1100" b="0">
              <a:solidFill>
                <a:schemeClr val="dk1"/>
              </a:solidFill>
              <a:effectLst/>
              <a:latin typeface="Times New Roman" panose="02020603050405020304" pitchFamily="18" charset="0"/>
              <a:ea typeface="+mn-ea"/>
              <a:cs typeface="Times New Roman" panose="02020603050405020304" pitchFamily="18" charset="0"/>
            </a:rPr>
            <a:t>collateral. With $86.9M in remaining guaranteed contract value securing a $10.25M facility, LTCg stands at 11.8% against a 25% maximum and collateral coverage of 8.48x. Average DSCR of 4.33x exceeds the 2.5x minimum threshold and all underwriting guidelines are satisfied. Credit profile presents moderate risk; Borrower's score of 680 is below average for a facility of this size. Minimum annual DSCR declines to 2.16x in year four reflecting a scheduled salary reduction, mitigated by the reserve structure and collateral coverage maintained throughout the term. Protective conditions include Death, Dishonor &amp; Disgrace insurance, a 10% cash depository reserve, Full year of</a:t>
          </a:r>
          <a:r>
            <a:rPr lang="en-US" sz="1100" b="0" baseline="0">
              <a:solidFill>
                <a:schemeClr val="dk1"/>
              </a:solidFill>
              <a:effectLst/>
              <a:latin typeface="Times New Roman" panose="02020603050405020304" pitchFamily="18" charset="0"/>
              <a:ea typeface="+mn-ea"/>
              <a:cs typeface="Times New Roman" panose="02020603050405020304" pitchFamily="18" charset="0"/>
            </a:rPr>
            <a:t> interest upfront to cover the 12-month deferral period in the borrowers off-season, </a:t>
          </a:r>
          <a:r>
            <a:rPr lang="en-US" sz="1100" b="0">
              <a:solidFill>
                <a:schemeClr val="dk1"/>
              </a:solidFill>
              <a:effectLst/>
              <a:latin typeface="Times New Roman" panose="02020603050405020304" pitchFamily="18" charset="0"/>
              <a:ea typeface="+mn-ea"/>
              <a:cs typeface="Times New Roman" panose="02020603050405020304" pitchFamily="18" charset="0"/>
            </a:rPr>
            <a:t>and direct deposit of contract proceeds to a lender-controlled account.</a:t>
          </a:r>
        </a:p>
        <a:p>
          <a:pPr algn="ctr"/>
          <a:endParaRPr lang="en-US" sz="1100" b="1">
            <a:solidFill>
              <a:schemeClr val="dk1"/>
            </a:solidFill>
            <a:effectLst/>
            <a:latin typeface="Times New Roman" panose="02020603050405020304" pitchFamily="18" charset="0"/>
            <a:ea typeface="+mn-ea"/>
            <a:cs typeface="Times New Roman" panose="02020603050405020304" pitchFamily="18" charset="0"/>
          </a:endParaRPr>
        </a:p>
        <a:p>
          <a:pPr algn="l"/>
          <a:r>
            <a:rPr lang="en-US" sz="1000" b="1">
              <a:solidFill>
                <a:schemeClr val="dk1"/>
              </a:solidFill>
              <a:effectLst/>
              <a:latin typeface="Times New Roman" panose="02020603050405020304" pitchFamily="18" charset="0"/>
              <a:ea typeface="+mn-ea"/>
              <a:cs typeface="Times New Roman" panose="02020603050405020304" pitchFamily="18" charset="0"/>
            </a:rPr>
            <a:t>Primary Repayment Source:</a:t>
          </a:r>
          <a:r>
            <a:rPr lang="en-US" sz="1000" b="1" baseline="0">
              <a:solidFill>
                <a:schemeClr val="dk1"/>
              </a:solidFill>
              <a:effectLst/>
              <a:latin typeface="Times New Roman" panose="02020603050405020304" pitchFamily="18" charset="0"/>
              <a:ea typeface="+mn-ea"/>
              <a:cs typeface="Times New Roman" panose="02020603050405020304" pitchFamily="18" charset="0"/>
            </a:rPr>
            <a:t> </a:t>
          </a:r>
          <a:r>
            <a:rPr lang="en-US" sz="1000" i="1">
              <a:solidFill>
                <a:schemeClr val="dk1"/>
              </a:solidFill>
              <a:effectLst/>
              <a:latin typeface="Times New Roman" panose="02020603050405020304" pitchFamily="18" charset="0"/>
              <a:ea typeface="+mn-ea"/>
              <a:cs typeface="Times New Roman" panose="02020603050405020304" pitchFamily="18" charset="0"/>
            </a:rPr>
            <a:t>Guaranteed NBA Contract</a:t>
          </a:r>
          <a:r>
            <a:rPr lang="en-US" sz="1000" i="0" baseline="0">
              <a:solidFill>
                <a:schemeClr val="dk1"/>
              </a:solidFill>
              <a:effectLst/>
              <a:latin typeface="Times New Roman" panose="02020603050405020304" pitchFamily="18" charset="0"/>
              <a:ea typeface="+mn-ea"/>
              <a:cs typeface="Times New Roman" panose="02020603050405020304" pitchFamily="18" charset="0"/>
            </a:rPr>
            <a:t> </a:t>
          </a:r>
          <a:r>
            <a:rPr lang="en-US" sz="1000" i="1">
              <a:solidFill>
                <a:schemeClr val="dk1"/>
              </a:solidFill>
              <a:effectLst/>
              <a:latin typeface="Times New Roman" panose="02020603050405020304" pitchFamily="18" charset="0"/>
              <a:ea typeface="+mn-ea"/>
              <a:cs typeface="Times New Roman" panose="02020603050405020304" pitchFamily="18" charset="0"/>
            </a:rPr>
            <a:t>Cash-Flow		</a:t>
          </a:r>
          <a:r>
            <a:rPr lang="en-US" sz="1000" b="1">
              <a:solidFill>
                <a:schemeClr val="dk1"/>
              </a:solidFill>
              <a:effectLst/>
              <a:latin typeface="Times New Roman" panose="02020603050405020304" pitchFamily="18" charset="0"/>
              <a:ea typeface="+mn-ea"/>
              <a:cs typeface="Times New Roman" panose="02020603050405020304" pitchFamily="18" charset="0"/>
            </a:rPr>
            <a:t>Secondary Source:</a:t>
          </a:r>
          <a:r>
            <a:rPr lang="en-US" sz="1000" b="0" baseline="0">
              <a:solidFill>
                <a:schemeClr val="dk1"/>
              </a:solidFill>
              <a:effectLst/>
              <a:latin typeface="Times New Roman" panose="02020603050405020304" pitchFamily="18" charset="0"/>
              <a:ea typeface="+mn-ea"/>
              <a:cs typeface="Times New Roman" panose="02020603050405020304" pitchFamily="18" charset="0"/>
            </a:rPr>
            <a:t> </a:t>
          </a:r>
          <a:r>
            <a:rPr lang="en-US" sz="1000" i="1">
              <a:solidFill>
                <a:schemeClr val="dk1"/>
              </a:solidFill>
              <a:effectLst/>
              <a:latin typeface="Times New Roman" panose="02020603050405020304" pitchFamily="18" charset="0"/>
              <a:ea typeface="+mn-ea"/>
              <a:cs typeface="Times New Roman" panose="02020603050405020304" pitchFamily="18" charset="0"/>
            </a:rPr>
            <a:t>Insurance policies provided through</a:t>
          </a:r>
          <a:r>
            <a:rPr lang="en-US" sz="1000" i="0" baseline="0">
              <a:solidFill>
                <a:schemeClr val="dk1"/>
              </a:solidFill>
              <a:effectLst/>
              <a:latin typeface="Times New Roman" panose="02020603050405020304" pitchFamily="18" charset="0"/>
              <a:ea typeface="+mn-ea"/>
              <a:cs typeface="Times New Roman" panose="02020603050405020304" pitchFamily="18" charset="0"/>
            </a:rPr>
            <a:t> </a:t>
          </a:r>
          <a:r>
            <a:rPr lang="en-US" sz="1000" i="1">
              <a:solidFill>
                <a:schemeClr val="dk1"/>
              </a:solidFill>
              <a:effectLst/>
              <a:latin typeface="Times New Roman" panose="02020603050405020304" pitchFamily="18" charset="0"/>
              <a:ea typeface="+mn-ea"/>
              <a:cs typeface="Times New Roman" panose="02020603050405020304" pitchFamily="18" charset="0"/>
            </a:rPr>
            <a:t>Insurer A</a:t>
          </a:r>
          <a:r>
            <a:rPr lang="en-US" sz="1000" b="1" i="0" baseline="0">
              <a:solidFill>
                <a:schemeClr val="dk1"/>
              </a:solidFill>
              <a:effectLst/>
              <a:latin typeface="Times New Roman" panose="02020603050405020304" pitchFamily="18" charset="0"/>
              <a:ea typeface="+mn-ea"/>
              <a:cs typeface="Times New Roman" panose="02020603050405020304" pitchFamily="18" charset="0"/>
            </a:rPr>
            <a:t>		</a:t>
          </a:r>
          <a:r>
            <a:rPr lang="en-US" sz="1000" b="1">
              <a:solidFill>
                <a:schemeClr val="dk1"/>
              </a:solidFill>
              <a:effectLst/>
              <a:latin typeface="Times New Roman" panose="02020603050405020304" pitchFamily="18" charset="0"/>
              <a:ea typeface="+mn-ea"/>
              <a:cs typeface="Times New Roman" panose="02020603050405020304" pitchFamily="18" charset="0"/>
            </a:rPr>
            <a:t>Tertiary Source:</a:t>
          </a:r>
          <a:r>
            <a:rPr lang="en-US" sz="1000" b="0" baseline="0">
              <a:solidFill>
                <a:schemeClr val="dk1"/>
              </a:solidFill>
              <a:effectLst/>
              <a:latin typeface="Times New Roman" panose="02020603050405020304" pitchFamily="18" charset="0"/>
              <a:ea typeface="+mn-ea"/>
              <a:cs typeface="Times New Roman" panose="02020603050405020304" pitchFamily="18" charset="0"/>
            </a:rPr>
            <a:t> </a:t>
          </a:r>
          <a:r>
            <a:rPr lang="en-US" sz="1000" i="1">
              <a:solidFill>
                <a:schemeClr val="dk1"/>
              </a:solidFill>
              <a:effectLst/>
              <a:latin typeface="Times New Roman" panose="02020603050405020304" pitchFamily="18" charset="0"/>
              <a:ea typeface="+mn-ea"/>
              <a:cs typeface="Times New Roman" panose="02020603050405020304" pitchFamily="18" charset="0"/>
            </a:rPr>
            <a:t>Enforcement of full Guarantee provided by</a:t>
          </a:r>
          <a:r>
            <a:rPr lang="en-US" sz="1000" i="0" baseline="0">
              <a:solidFill>
                <a:schemeClr val="dk1"/>
              </a:solidFill>
              <a:effectLst/>
              <a:latin typeface="Times New Roman" panose="02020603050405020304" pitchFamily="18" charset="0"/>
              <a:ea typeface="+mn-ea"/>
              <a:cs typeface="Times New Roman" panose="02020603050405020304" pitchFamily="18" charset="0"/>
            </a:rPr>
            <a:t> </a:t>
          </a:r>
          <a:r>
            <a:rPr lang="en-US" sz="1000" i="1">
              <a:solidFill>
                <a:schemeClr val="dk1"/>
              </a:solidFill>
              <a:effectLst/>
              <a:latin typeface="Times New Roman" panose="02020603050405020304" pitchFamily="18" charset="0"/>
              <a:ea typeface="+mn-ea"/>
              <a:cs typeface="Times New Roman" panose="02020603050405020304" pitchFamily="18" charset="0"/>
            </a:rPr>
            <a:t>Borrower</a:t>
          </a:r>
          <a:endParaRPr lang="en-US" sz="1000">
            <a:solidFill>
              <a:schemeClr val="dk1"/>
            </a:solidFill>
            <a:effectLst/>
            <a:latin typeface="Times New Roman" panose="02020603050405020304" pitchFamily="18" charset="0"/>
            <a:ea typeface="+mn-ea"/>
            <a:cs typeface="Times New Roman" panose="02020603050405020304" pitchFamily="18" charset="0"/>
          </a:endParaRPr>
        </a:p>
        <a:p>
          <a:pPr algn="l"/>
          <a:endParaRPr lang="en-US" sz="1000">
            <a:latin typeface="Times New Roman" panose="02020603050405020304" pitchFamily="18" charset="0"/>
            <a:cs typeface="Times New Roman" panose="02020603050405020304" pitchFamily="18" charset="0"/>
          </a:endParaRPr>
        </a:p>
        <a:p>
          <a:pPr algn="l"/>
          <a:endParaRPr lang="en-US" sz="1100" b="1" u="none">
            <a:solidFill>
              <a:schemeClr val="dk1"/>
            </a:solidFill>
            <a:effectLst/>
            <a:latin typeface="Times New Roman" panose="02020603050405020304" pitchFamily="18" charset="0"/>
            <a:ea typeface="+mn-ea"/>
            <a:cs typeface="Times New Roman" panose="02020603050405020304" pitchFamily="18" charset="0"/>
          </a:endParaRPr>
        </a:p>
        <a:p>
          <a:pPr algn="l"/>
          <a:r>
            <a:rPr lang="en-US" sz="1100" b="1" u="none">
              <a:solidFill>
                <a:schemeClr val="dk1"/>
              </a:solidFill>
              <a:effectLst/>
              <a:latin typeface="Times New Roman" panose="02020603050405020304" pitchFamily="18" charset="0"/>
              <a:ea typeface="+mn-ea"/>
              <a:cs typeface="Times New Roman" panose="02020603050405020304" pitchFamily="18" charset="0"/>
            </a:rPr>
            <a:t>SUMMARY OF TRANSACTION RECOMMENDATIONS</a:t>
          </a:r>
        </a:p>
        <a:p>
          <a:pPr algn="l"/>
          <a:endParaRPr lang="en-US" sz="1000" b="1" u="sng">
            <a:latin typeface="Times New Roman" panose="02020603050405020304" pitchFamily="18" charset="0"/>
            <a:cs typeface="Times New Roman" panose="02020603050405020304" pitchFamily="18" charset="0"/>
          </a:endParaRPr>
        </a:p>
        <a:p>
          <a:r>
            <a:rPr lang="en-US" sz="1100">
              <a:solidFill>
                <a:schemeClr val="dk1"/>
              </a:solidFill>
              <a:effectLst/>
              <a:latin typeface="Times New Roman" panose="02020603050405020304" pitchFamily="18" charset="0"/>
              <a:ea typeface="+mn-ea"/>
              <a:cs typeface="Times New Roman" panose="02020603050405020304" pitchFamily="18" charset="0"/>
            </a:rPr>
            <a:t>•  Lender to provide an advance of $10.25M against the Borrower’s NBA Contract for the 2024-2027 NBA seasons</a:t>
          </a:r>
        </a:p>
        <a:p>
          <a:r>
            <a:rPr lang="en-US" sz="1100">
              <a:solidFill>
                <a:schemeClr val="dk1"/>
              </a:solidFill>
              <a:effectLst/>
              <a:latin typeface="Times New Roman" panose="02020603050405020304" pitchFamily="18" charset="0"/>
              <a:ea typeface="+mn-ea"/>
              <a:cs typeface="Times New Roman" panose="02020603050405020304" pitchFamily="18" charset="0"/>
            </a:rPr>
            <a:t>•  Loan repayments will be made directly from the ABC NBA Team into a</a:t>
          </a:r>
          <a:r>
            <a:rPr lang="en-US" sz="1100" baseline="0">
              <a:solidFill>
                <a:schemeClr val="dk1"/>
              </a:solidFill>
              <a:effectLst/>
              <a:latin typeface="Times New Roman" panose="02020603050405020304" pitchFamily="18" charset="0"/>
              <a:ea typeface="+mn-ea"/>
              <a:cs typeface="Times New Roman" panose="02020603050405020304" pitchFamily="18" charset="0"/>
            </a:rPr>
            <a:t> Lender</a:t>
          </a:r>
          <a:r>
            <a:rPr lang="en-US" sz="1100">
              <a:solidFill>
                <a:schemeClr val="dk1"/>
              </a:solidFill>
              <a:effectLst/>
              <a:latin typeface="Times New Roman" panose="02020603050405020304" pitchFamily="18" charset="0"/>
              <a:ea typeface="+mn-ea"/>
              <a:cs typeface="Times New Roman" panose="02020603050405020304" pitchFamily="18" charset="0"/>
            </a:rPr>
            <a:t> controlled account</a:t>
          </a:r>
        </a:p>
        <a:p>
          <a:r>
            <a:rPr lang="en-US" sz="1100">
              <a:solidFill>
                <a:schemeClr val="dk1"/>
              </a:solidFill>
              <a:effectLst/>
              <a:latin typeface="Times New Roman" panose="02020603050405020304" pitchFamily="18" charset="0"/>
              <a:ea typeface="+mn-ea"/>
              <a:cs typeface="Times New Roman" panose="02020603050405020304" pitchFamily="18" charset="0"/>
            </a:rPr>
            <a:t>•  Borrower to establish payroll direct deposit account with Lender to be used for automatic payments</a:t>
          </a:r>
        </a:p>
        <a:p>
          <a:r>
            <a:rPr lang="en-US" sz="1100">
              <a:solidFill>
                <a:schemeClr val="dk1"/>
              </a:solidFill>
              <a:effectLst/>
              <a:latin typeface="Times New Roman" panose="02020603050405020304" pitchFamily="18" charset="0"/>
              <a:ea typeface="+mn-ea"/>
              <a:cs typeface="Times New Roman" panose="02020603050405020304" pitchFamily="18" charset="0"/>
            </a:rPr>
            <a:t>•  The Lender will be protected by assigned Death &amp; Disgrace insurance policy underwritten by Insurer A</a:t>
          </a:r>
          <a:r>
            <a:rPr lang="en-US" sz="1100" baseline="0">
              <a:solidFill>
                <a:schemeClr val="dk1"/>
              </a:solidFill>
              <a:effectLst/>
              <a:latin typeface="Times New Roman" panose="02020603050405020304" pitchFamily="18" charset="0"/>
              <a:ea typeface="+mn-ea"/>
              <a:cs typeface="Times New Roman" panose="02020603050405020304" pitchFamily="18" charset="0"/>
            </a:rPr>
            <a:t> </a:t>
          </a:r>
          <a:r>
            <a:rPr lang="en-US" sz="1100">
              <a:solidFill>
                <a:schemeClr val="dk1"/>
              </a:solidFill>
              <a:effectLst/>
              <a:latin typeface="Times New Roman" panose="02020603050405020304" pitchFamily="18" charset="0"/>
              <a:ea typeface="+mn-ea"/>
              <a:cs typeface="Times New Roman" panose="02020603050405020304" pitchFamily="18" charset="0"/>
            </a:rPr>
            <a:t>at Lender’s discretion</a:t>
          </a:r>
        </a:p>
        <a:p>
          <a:pPr marL="0" marR="0" lvl="0" indent="0" defTabSz="914400" eaLnBrk="1" fontAlgn="base" latinLnBrk="0" hangingPunct="1">
            <a:lnSpc>
              <a:spcPct val="100000"/>
            </a:lnSpc>
            <a:spcBef>
              <a:spcPts val="0"/>
            </a:spcBef>
            <a:spcAft>
              <a:spcPts val="0"/>
            </a:spcAft>
            <a:buClrTx/>
            <a:buSzTx/>
            <a:buFontTx/>
            <a:buNone/>
            <a:tabLst/>
            <a:defRPr/>
          </a:pPr>
          <a:r>
            <a:rPr lang="en-US" sz="1100">
              <a:solidFill>
                <a:schemeClr val="dk1"/>
              </a:solidFill>
              <a:effectLst/>
              <a:latin typeface="Times New Roman" panose="02020603050405020304" pitchFamily="18" charset="0"/>
              <a:ea typeface="+mn-ea"/>
              <a:cs typeface="Times New Roman" panose="02020603050405020304" pitchFamily="18" charset="0"/>
            </a:rPr>
            <a:t>•</a:t>
          </a:r>
          <a:r>
            <a:rPr lang="en-US" sz="110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100" b="0" i="0">
              <a:solidFill>
                <a:schemeClr val="dk1"/>
              </a:solidFill>
              <a:effectLst/>
              <a:latin typeface="Times New Roman" panose="02020603050405020304" pitchFamily="18" charset="0"/>
              <a:ea typeface="+mn-ea"/>
              <a:cs typeface="Times New Roman" panose="02020603050405020304" pitchFamily="18" charset="0"/>
            </a:rPr>
            <a:t>Prior to closing, the borrower will prefund </a:t>
          </a:r>
          <a:r>
            <a:rPr lang="en-US" sz="1100" u="none" strike="noStrike">
              <a:solidFill>
                <a:schemeClr val="dk1"/>
              </a:solidFill>
              <a:effectLst/>
              <a:latin typeface="Times New Roman" panose="02020603050405020304" pitchFamily="18" charset="0"/>
              <a:ea typeface="+mn-ea"/>
              <a:cs typeface="Times New Roman" panose="02020603050405020304" pitchFamily="18" charset="0"/>
            </a:rPr>
            <a:t>Death &amp; Disgrace Insurance ($190,050</a:t>
          </a:r>
          <a:r>
            <a:rPr lang="en-US" sz="110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100" u="none" strike="noStrike">
              <a:solidFill>
                <a:schemeClr val="dk1"/>
              </a:solidFill>
              <a:effectLst/>
              <a:latin typeface="Times New Roman" panose="02020603050405020304" pitchFamily="18" charset="0"/>
              <a:ea typeface="+mn-ea"/>
              <a:cs typeface="Times New Roman" panose="02020603050405020304" pitchFamily="18" charset="0"/>
            </a:rPr>
            <a:t>est.),</a:t>
          </a:r>
          <a:r>
            <a:rPr lang="en-US" sz="110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100" u="none" strike="noStrike">
              <a:solidFill>
                <a:schemeClr val="dk1"/>
              </a:solidFill>
              <a:effectLst/>
              <a:latin typeface="Times New Roman" panose="02020603050405020304" pitchFamily="18" charset="0"/>
              <a:ea typeface="+mn-ea"/>
              <a:cs typeface="Times New Roman" panose="02020603050405020304" pitchFamily="18" charset="0"/>
            </a:rPr>
            <a:t>Interest Reserve of  $727,689, </a:t>
          </a:r>
          <a:r>
            <a:rPr lang="en-US" sz="1100" u="none" strike="noStrike" baseline="0">
              <a:solidFill>
                <a:schemeClr val="dk1"/>
              </a:solidFill>
              <a:effectLst/>
              <a:latin typeface="Times New Roman" panose="02020603050405020304" pitchFamily="18" charset="0"/>
              <a:ea typeface="+mn-ea"/>
              <a:cs typeface="Times New Roman" panose="02020603050405020304" pitchFamily="18" charset="0"/>
            </a:rPr>
            <a:t>and 10% Cash Depository Reserve ($1,025,000)</a:t>
          </a:r>
          <a:r>
            <a:rPr lang="en-US" sz="1100" u="none" strike="noStrike">
              <a:solidFill>
                <a:schemeClr val="dk1"/>
              </a:solidFill>
              <a:effectLst/>
              <a:latin typeface="Times New Roman" panose="02020603050405020304" pitchFamily="18" charset="0"/>
              <a:ea typeface="+mn-ea"/>
              <a:cs typeface="Times New Roman" panose="02020603050405020304" pitchFamily="18" charset="0"/>
            </a:rPr>
            <a:t> prior to closing </a:t>
          </a:r>
          <a:r>
            <a:rPr lang="en-US" sz="1100" b="0" i="0">
              <a:solidFill>
                <a:schemeClr val="dk1"/>
              </a:solidFill>
              <a:effectLst/>
              <a:latin typeface="Times New Roman" panose="02020603050405020304" pitchFamily="18" charset="0"/>
              <a:ea typeface="+mn-ea"/>
              <a:cs typeface="Times New Roman" panose="02020603050405020304" pitchFamily="18" charset="0"/>
            </a:rPr>
            <a:t>totaling $2,009,739 million upfront.</a:t>
          </a:r>
          <a:r>
            <a:rPr lang="en-US" sz="1100" b="0" i="0" baseline="0">
              <a:solidFill>
                <a:schemeClr val="dk1"/>
              </a:solidFill>
              <a:effectLst/>
              <a:latin typeface="Times New Roman" panose="02020603050405020304" pitchFamily="18" charset="0"/>
              <a:ea typeface="+mn-ea"/>
              <a:cs typeface="Times New Roman" panose="02020603050405020304" pitchFamily="18" charset="0"/>
            </a:rPr>
            <a:t> This will provide</a:t>
          </a:r>
          <a:r>
            <a:rPr lang="en-US" sz="1100" b="0" i="0">
              <a:solidFill>
                <a:schemeClr val="dk1"/>
              </a:solidFill>
              <a:effectLst/>
              <a:latin typeface="Times New Roman" panose="02020603050405020304" pitchFamily="18" charset="0"/>
              <a:ea typeface="+mn-ea"/>
              <a:cs typeface="Times New Roman" panose="02020603050405020304" pitchFamily="18" charset="0"/>
            </a:rPr>
            <a:t>    </a:t>
          </a:r>
        </a:p>
        <a:p>
          <a:pPr marL="0" marR="0" lvl="0" indent="0" defTabSz="914400" eaLnBrk="1" fontAlgn="base" latinLnBrk="0" hangingPunct="1">
            <a:lnSpc>
              <a:spcPct val="100000"/>
            </a:lnSpc>
            <a:spcBef>
              <a:spcPts val="0"/>
            </a:spcBef>
            <a:spcAft>
              <a:spcPts val="0"/>
            </a:spcAft>
            <a:buClrTx/>
            <a:buSzTx/>
            <a:buFontTx/>
            <a:buNone/>
            <a:tabLst/>
            <a:defRPr/>
          </a:pPr>
          <a:r>
            <a:rPr lang="en-US" sz="1100" b="0" i="0" baseline="0">
              <a:solidFill>
                <a:schemeClr val="dk1"/>
              </a:solidFill>
              <a:effectLst/>
              <a:latin typeface="Times New Roman" panose="02020603050405020304" pitchFamily="18" charset="0"/>
              <a:ea typeface="+mn-ea"/>
              <a:cs typeface="Times New Roman" panose="02020603050405020304" pitchFamily="18" charset="0"/>
            </a:rPr>
            <a:t>   </a:t>
          </a:r>
          <a:r>
            <a:rPr lang="en-US" sz="1100" b="0" i="0">
              <a:solidFill>
                <a:schemeClr val="dk1"/>
              </a:solidFill>
              <a:effectLst/>
              <a:latin typeface="Times New Roman" panose="02020603050405020304" pitchFamily="18" charset="0"/>
              <a:ea typeface="+mn-ea"/>
              <a:cs typeface="Times New Roman" panose="02020603050405020304" pitchFamily="18" charset="0"/>
            </a:rPr>
            <a:t> immediate liquidity, payment continuity, and catastrophic loss protection for the lender.</a:t>
          </a:r>
          <a:endParaRPr lang="en-US" sz="1100">
            <a:solidFill>
              <a:schemeClr val="dk1"/>
            </a:solidFill>
            <a:effectLst/>
            <a:latin typeface="Times New Roman" panose="02020603050405020304" pitchFamily="18" charset="0"/>
            <a:ea typeface="+mn-ea"/>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100" b="1">
            <a:solidFill>
              <a:schemeClr val="dk1"/>
            </a:solidFill>
            <a:effectLst/>
            <a:latin typeface="Times New Roman" panose="02020603050405020304" pitchFamily="18" charset="0"/>
            <a:ea typeface="+mn-ea"/>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200" b="1">
              <a:latin typeface="Times New Roman" panose="02020603050405020304" pitchFamily="18" charset="0"/>
              <a:cs typeface="Times New Roman" panose="02020603050405020304" pitchFamily="18" charset="0"/>
            </a:rPr>
            <a:t>12-month deferral</a:t>
          </a:r>
          <a:r>
            <a:rPr lang="en-US" sz="1200" b="0">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 24-month amortization | 13% interest rate</a:t>
          </a:r>
          <a:r>
            <a:rPr lang="en-US" sz="1200">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 DSCR</a:t>
          </a:r>
          <a:r>
            <a:rPr lang="en-US" sz="1200">
              <a:latin typeface="Times New Roman" panose="02020603050405020304" pitchFamily="18" charset="0"/>
              <a:cs typeface="Times New Roman" panose="02020603050405020304" pitchFamily="18" charset="0"/>
            </a:rPr>
            <a:t>: 4.33x  |  </a:t>
          </a:r>
          <a:r>
            <a:rPr lang="en-US" sz="1200" b="1">
              <a:latin typeface="Times New Roman" panose="02020603050405020304" pitchFamily="18" charset="0"/>
              <a:cs typeface="Times New Roman" panose="02020603050405020304" pitchFamily="18" charset="0"/>
            </a:rPr>
            <a:t>LTC</a:t>
          </a:r>
          <a:r>
            <a:rPr lang="en-US" sz="1200">
              <a:latin typeface="Times New Roman" panose="02020603050405020304" pitchFamily="18" charset="0"/>
              <a:cs typeface="Times New Roman" panose="02020603050405020304" pitchFamily="18" charset="0"/>
            </a:rPr>
            <a:t>: 11.8%  |  </a:t>
          </a:r>
          <a:r>
            <a:rPr lang="en-US" sz="1200" b="1">
              <a:latin typeface="Times New Roman" panose="02020603050405020304" pitchFamily="18" charset="0"/>
              <a:cs typeface="Times New Roman" panose="02020603050405020304" pitchFamily="18" charset="0"/>
            </a:rPr>
            <a:t>Net Worth</a:t>
          </a:r>
          <a:r>
            <a:rPr lang="en-US" sz="1200">
              <a:latin typeface="Times New Roman" panose="02020603050405020304" pitchFamily="18" charset="0"/>
              <a:cs typeface="Times New Roman" panose="02020603050405020304" pitchFamily="18" charset="0"/>
            </a:rPr>
            <a:t>: $90.7M  |  </a:t>
          </a:r>
          <a:r>
            <a:rPr lang="en-US" sz="1200" b="1">
              <a:latin typeface="Times New Roman" panose="02020603050405020304" pitchFamily="18" charset="0"/>
              <a:cs typeface="Times New Roman" panose="02020603050405020304" pitchFamily="18" charset="0"/>
            </a:rPr>
            <a:t>Cash Reserve</a:t>
          </a:r>
          <a:r>
            <a:rPr lang="en-US" sz="1200">
              <a:latin typeface="Times New Roman" panose="02020603050405020304" pitchFamily="18" charset="0"/>
              <a:cs typeface="Times New Roman" panose="02020603050405020304" pitchFamily="18" charset="0"/>
            </a:rPr>
            <a:t>: $1,025,000</a:t>
          </a:r>
          <a:r>
            <a:rPr lang="en-US" sz="1200" baseline="0">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 Credit Score: </a:t>
          </a:r>
          <a:r>
            <a:rPr lang="en-US" sz="1200" b="0">
              <a:latin typeface="Times New Roman" panose="02020603050405020304" pitchFamily="18" charset="0"/>
              <a:cs typeface="Times New Roman" panose="02020603050405020304" pitchFamily="18" charset="0"/>
            </a:rPr>
            <a:t>680</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376766</xdr:colOff>
      <xdr:row>14</xdr:row>
      <xdr:rowOff>190500</xdr:rowOff>
    </xdr:from>
    <xdr:to>
      <xdr:col>8</xdr:col>
      <xdr:colOff>165100</xdr:colOff>
      <xdr:row>19</xdr:row>
      <xdr:rowOff>609600</xdr:rowOff>
    </xdr:to>
    <xdr:sp macro="" textlink="">
      <xdr:nvSpPr>
        <xdr:cNvPr id="4" name="TextBox 3">
          <a:extLst>
            <a:ext uri="{FF2B5EF4-FFF2-40B4-BE49-F238E27FC236}">
              <a16:creationId xmlns:a16="http://schemas.microsoft.com/office/drawing/2014/main" id="{EC46EF87-8DF7-82EB-3F68-38A3DF05AA5B}"/>
            </a:ext>
          </a:extLst>
        </xdr:cNvPr>
        <xdr:cNvSpPr txBox="1"/>
      </xdr:nvSpPr>
      <xdr:spPr>
        <a:xfrm>
          <a:off x="13140266" y="3225800"/>
          <a:ext cx="5947834" cy="289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US" sz="1100" b="1">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latin typeface="Times New Roman" panose="02020603050405020304" pitchFamily="18" charset="0"/>
              <a:cs typeface="Times New Roman" panose="02020603050405020304" pitchFamily="18" charset="0"/>
            </a:rPr>
            <a:t>Collateral</a:t>
          </a:r>
          <a:r>
            <a:rPr lang="en-US" sz="1100">
              <a:latin typeface="Times New Roman" panose="02020603050405020304" pitchFamily="18" charset="0"/>
              <a:cs typeface="Times New Roman" panose="02020603050405020304" pitchFamily="18" charset="0"/>
            </a:rPr>
            <a:t>:</a:t>
          </a:r>
          <a:r>
            <a:rPr lang="en-US" sz="1100" baseline="0">
              <a:latin typeface="Times New Roman" panose="02020603050405020304" pitchFamily="18" charset="0"/>
              <a:cs typeface="Times New Roman" panose="02020603050405020304" pitchFamily="18" charset="0"/>
            </a:rPr>
            <a:t> Borrower holds significant collateral; LTCg of 11.8% is well within the 25% maximum. NBA guaranteed contract provides $86.9M in contract-backed security. </a:t>
          </a:r>
          <a:r>
            <a:rPr lang="en-US" sz="1100" b="1" baseline="0">
              <a:latin typeface="Times New Roman" panose="02020603050405020304" pitchFamily="18" charset="0"/>
              <a:cs typeface="Times New Roman" panose="02020603050405020304" pitchFamily="18" charset="0"/>
            </a:rPr>
            <a:t>Score: 3/3</a:t>
          </a:r>
          <a:endParaRPr lang="en-US" sz="1100" baseline="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1" baseline="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latin typeface="Times New Roman" panose="02020603050405020304" pitchFamily="18" charset="0"/>
              <a:cs typeface="Times New Roman" panose="02020603050405020304" pitchFamily="18" charset="0"/>
            </a:rPr>
            <a:t>Capital</a:t>
          </a:r>
          <a:r>
            <a:rPr lang="en-US" sz="1100" baseline="0">
              <a:latin typeface="Times New Roman" panose="02020603050405020304" pitchFamily="18" charset="0"/>
              <a:cs typeface="Times New Roman" panose="02020603050405020304" pitchFamily="18" charset="0"/>
            </a:rPr>
            <a:t>: Cash reserves and interest reserve provide coverage for the 12-month deferral period. Depository account established for automatic payment collection. </a:t>
          </a:r>
          <a:r>
            <a:rPr lang="en-US" sz="1100" b="1" baseline="0">
              <a:latin typeface="Times New Roman" panose="02020603050405020304" pitchFamily="18" charset="0"/>
              <a:cs typeface="Times New Roman" panose="02020603050405020304" pitchFamily="18" charset="0"/>
            </a:rPr>
            <a:t>Score: 2/3</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latin typeface="Times New Roman" panose="02020603050405020304" pitchFamily="18" charset="0"/>
              <a:cs typeface="Times New Roman" panose="02020603050405020304" pitchFamily="18" charset="0"/>
            </a:rPr>
            <a:t>Character</a:t>
          </a:r>
          <a:r>
            <a:rPr lang="en-US" sz="1100" baseline="0">
              <a:latin typeface="Times New Roman" panose="02020603050405020304" pitchFamily="18" charset="0"/>
              <a:cs typeface="Times New Roman" panose="02020603050405020304" pitchFamily="18" charset="0"/>
            </a:rPr>
            <a:t>: Credit score holds at 680; it is below average and will be monitored. Credit history reveals one historical missed payment, since resolved. Four open accounts all in good standing. (2) *Borrower has one criminal record; disturbing the peace in 2017.  </a:t>
          </a:r>
          <a:r>
            <a:rPr lang="en-US" sz="1100" b="1" baseline="0">
              <a:latin typeface="Times New Roman" panose="02020603050405020304" pitchFamily="18" charset="0"/>
              <a:cs typeface="Times New Roman" panose="02020603050405020304" pitchFamily="18" charset="0"/>
            </a:rPr>
            <a:t>Score: 2/3</a:t>
          </a:r>
        </a:p>
        <a:p>
          <a:endParaRPr lang="en-US" sz="1100" baseline="0">
            <a:latin typeface="Times New Roman" panose="02020603050405020304" pitchFamily="18" charset="0"/>
            <a:cs typeface="Times New Roman" panose="02020603050405020304" pitchFamily="18"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baseline="0">
              <a:latin typeface="Times New Roman" panose="02020603050405020304" pitchFamily="18" charset="0"/>
              <a:cs typeface="Times New Roman" panose="02020603050405020304" pitchFamily="18" charset="0"/>
            </a:rPr>
            <a:t>Capacity:</a:t>
          </a:r>
          <a:r>
            <a:rPr lang="en-US" sz="1100" b="0" baseline="0">
              <a:latin typeface="Times New Roman" panose="02020603050405020304" pitchFamily="18" charset="0"/>
              <a:cs typeface="Times New Roman" panose="02020603050405020304" pitchFamily="18" charset="0"/>
            </a:rPr>
            <a:t> DSCR of 4.33x on average exceeds the 2.5x minimum. Income is guaranteed through 2027 NBA contract. Note: minimum annual DSCR of 2.16x in year 4 falls below guideline floor. </a:t>
          </a:r>
          <a:r>
            <a:rPr lang="en-US" sz="1100" b="1" baseline="0">
              <a:latin typeface="Times New Roman" panose="02020603050405020304" pitchFamily="18" charset="0"/>
              <a:cs typeface="Times New Roman" panose="02020603050405020304" pitchFamily="18" charset="0"/>
            </a:rPr>
            <a:t>Score: 2/3</a:t>
          </a:r>
        </a:p>
        <a:p>
          <a:endParaRPr lang="en-US" sz="1100" b="1" baseline="0">
            <a:latin typeface="Times New Roman" panose="02020603050405020304" pitchFamily="18" charset="0"/>
            <a:cs typeface="Times New Roman" panose="02020603050405020304" pitchFamily="18" charset="0"/>
          </a:endParaRPr>
        </a:p>
        <a:p>
          <a:r>
            <a:rPr lang="en-US" sz="1100" b="1" baseline="0">
              <a:latin typeface="Times New Roman" panose="02020603050405020304" pitchFamily="18" charset="0"/>
              <a:cs typeface="Times New Roman" panose="02020603050405020304" pitchFamily="18" charset="0"/>
            </a:rPr>
            <a:t>Conditions: </a:t>
          </a:r>
          <a:r>
            <a:rPr lang="en-US" sz="1100" b="0" baseline="0">
              <a:latin typeface="Times New Roman" panose="02020603050405020304" pitchFamily="18" charset="0"/>
              <a:cs typeface="Times New Roman" panose="02020603050405020304" pitchFamily="18" charset="0"/>
            </a:rPr>
            <a:t>DDD insurance, depository account, and interest reserve established as protective conditions. Loan purpose (franchise investment) introduces speculative use of proceeds. </a:t>
          </a:r>
          <a:r>
            <a:rPr lang="en-US" sz="1100" b="1" baseline="0">
              <a:latin typeface="Times New Roman" panose="02020603050405020304" pitchFamily="18" charset="0"/>
              <a:cs typeface="Times New Roman" panose="02020603050405020304" pitchFamily="18" charset="0"/>
            </a:rPr>
            <a:t>Score: 2/3</a:t>
          </a:r>
          <a:endParaRPr lang="en-US" sz="1100" b="1">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195386</xdr:colOff>
      <xdr:row>1</xdr:row>
      <xdr:rowOff>161982</xdr:rowOff>
    </xdr:from>
    <xdr:to>
      <xdr:col>13</xdr:col>
      <xdr:colOff>544285</xdr:colOff>
      <xdr:row>24</xdr:row>
      <xdr:rowOff>41868</xdr:rowOff>
    </xdr:to>
    <xdr:sp macro="" textlink="">
      <xdr:nvSpPr>
        <xdr:cNvPr id="7" name="TextBox 6">
          <a:extLst>
            <a:ext uri="{FF2B5EF4-FFF2-40B4-BE49-F238E27FC236}">
              <a16:creationId xmlns:a16="http://schemas.microsoft.com/office/drawing/2014/main" id="{35340072-56D2-76B7-FA81-D6328E7D612F}"/>
            </a:ext>
          </a:extLst>
        </xdr:cNvPr>
        <xdr:cNvSpPr txBox="1"/>
      </xdr:nvSpPr>
      <xdr:spPr>
        <a:xfrm>
          <a:off x="7940990" y="371323"/>
          <a:ext cx="7117581" cy="50715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200" b="1" i="0">
            <a:solidFill>
              <a:schemeClr val="dk1"/>
            </a:solidFill>
            <a:effectLst/>
            <a:latin typeface="Times New Roman" panose="02020603050405020304" pitchFamily="18" charset="0"/>
            <a:ea typeface="+mn-ea"/>
            <a:cs typeface="Times New Roman" panose="02020603050405020304" pitchFamily="18" charset="0"/>
          </a:endParaRPr>
        </a:p>
        <a:p>
          <a:pPr algn="ctr"/>
          <a:r>
            <a:rPr lang="en-US" sz="1200" b="1" i="0">
              <a:solidFill>
                <a:schemeClr val="dk1"/>
              </a:solidFill>
              <a:effectLst/>
              <a:latin typeface="Times New Roman" panose="02020603050405020304" pitchFamily="18" charset="0"/>
              <a:ea typeface="+mn-ea"/>
              <a:cs typeface="Times New Roman" panose="02020603050405020304" pitchFamily="18" charset="0"/>
            </a:rPr>
            <a:t>CONTRACT ANALYSIS</a:t>
          </a:r>
        </a:p>
        <a:p>
          <a:endParaRPr lang="en-US" sz="1200" b="1" i="0">
            <a:solidFill>
              <a:schemeClr val="dk1"/>
            </a:solidFill>
            <a:effectLst/>
            <a:latin typeface="Times New Roman" panose="02020603050405020304" pitchFamily="18" charset="0"/>
            <a:ea typeface="+mn-ea"/>
            <a:cs typeface="Times New Roman" panose="02020603050405020304" pitchFamily="18" charset="0"/>
          </a:endParaRPr>
        </a:p>
        <a:p>
          <a:r>
            <a:rPr lang="en-US" sz="1050" b="1">
              <a:latin typeface="Times New Roman" panose="02020603050405020304" pitchFamily="18" charset="0"/>
              <a:cs typeface="Times New Roman" panose="02020603050405020304" pitchFamily="18" charset="0"/>
            </a:rPr>
            <a:t>Guaranteed Compensation</a:t>
          </a:r>
          <a:r>
            <a:rPr lang="en-US" sz="1050">
              <a:latin typeface="Times New Roman" panose="02020603050405020304" pitchFamily="18" charset="0"/>
              <a:cs typeface="Times New Roman" panose="02020603050405020304" pitchFamily="18" charset="0"/>
            </a:rPr>
            <a:t>: Player A holds a four-year, $120M guaranteed NBA contract with the ABC Basketball team covering the 2023-2027 seasons. Base salary declines from $33,068,182 in 2023-24 to $26,931,818 in 2026-27, with $86,931,818 remaining over the loan term.</a:t>
          </a:r>
        </a:p>
        <a:p>
          <a:endParaRPr lang="en-US" sz="1050" b="1">
            <a:latin typeface="Times New Roman" panose="02020603050405020304" pitchFamily="18" charset="0"/>
            <a:cs typeface="Times New Roman" panose="02020603050405020304" pitchFamily="18" charset="0"/>
          </a:endParaRPr>
        </a:p>
        <a:p>
          <a:r>
            <a:rPr lang="en-US" sz="1050" b="1">
              <a:latin typeface="Times New Roman" panose="02020603050405020304" pitchFamily="18" charset="0"/>
              <a:cs typeface="Times New Roman" panose="02020603050405020304" pitchFamily="18" charset="0"/>
            </a:rPr>
            <a:t>Incentive Compensation</a:t>
          </a:r>
          <a:r>
            <a:rPr lang="en-US" sz="1050">
              <a:latin typeface="Times New Roman" panose="02020603050405020304" pitchFamily="18" charset="0"/>
              <a:cs typeface="Times New Roman" panose="02020603050405020304" pitchFamily="18" charset="0"/>
            </a:rPr>
            <a:t>: Three tiers of performance bonuses are payable July 31 following each qualifying season, contingent on 65+ regular season games played. Team performance bonuses (net rating, playoff participation, statistical rankings) are capped at $1,550,000 annually. Individual performance bonuses (rebounding, shooting, defensive metrics) are capped at $775,000 annually. League honors bonuses (All-NBA, All-Defensive Team) are capped at $1,550,000 annually. All incentive compensation is non-guaranteed and excluded from base repayment projections.</a:t>
          </a:r>
        </a:p>
        <a:p>
          <a:endParaRPr lang="en-US" sz="1050" b="1">
            <a:latin typeface="Times New Roman" panose="02020603050405020304" pitchFamily="18" charset="0"/>
            <a:cs typeface="Times New Roman" panose="02020603050405020304" pitchFamily="18" charset="0"/>
          </a:endParaRPr>
        </a:p>
        <a:p>
          <a:r>
            <a:rPr lang="en-US" sz="1050" b="1">
              <a:latin typeface="Times New Roman" panose="02020603050405020304" pitchFamily="18" charset="0"/>
              <a:cs typeface="Times New Roman" panose="02020603050405020304" pitchFamily="18" charset="0"/>
            </a:rPr>
            <a:t>Insurance Reimbursement</a:t>
          </a:r>
          <a:r>
            <a:rPr lang="en-US" sz="1050">
              <a:latin typeface="Times New Roman" panose="02020603050405020304" pitchFamily="18" charset="0"/>
              <a:cs typeface="Times New Roman" panose="02020603050405020304" pitchFamily="18" charset="0"/>
            </a:rPr>
            <a:t>: Team reimburses Player for term life insurance premiums each season, capped at 10-year guaranteed term coverage at preferred rates. Maximum reimbursable coverage declines from $85,000,000 in 2023-24 to $19,431,819 in 2026-27. Reimbursement due April 1 each season.</a:t>
          </a:r>
        </a:p>
        <a:p>
          <a:endParaRPr lang="en-US" sz="1050">
            <a:latin typeface="Times New Roman" panose="02020603050405020304" pitchFamily="18" charset="0"/>
            <a:cs typeface="Times New Roman" panose="02020603050405020304" pitchFamily="18" charset="0"/>
          </a:endParaRPr>
        </a:p>
        <a:p>
          <a:r>
            <a:rPr lang="en-US" sz="1050" b="1" i="0">
              <a:solidFill>
                <a:schemeClr val="dk1"/>
              </a:solidFill>
              <a:effectLst/>
              <a:latin typeface="Times New Roman" panose="02020603050405020304" pitchFamily="18" charset="0"/>
              <a:ea typeface="+mn-ea"/>
              <a:cs typeface="Times New Roman" panose="02020603050405020304" pitchFamily="18" charset="0"/>
            </a:rPr>
            <a:t>Injury Protection</a:t>
          </a:r>
          <a:r>
            <a:rPr lang="en-US" sz="1050" b="0" i="0">
              <a:solidFill>
                <a:schemeClr val="dk1"/>
              </a:solidFill>
              <a:effectLst/>
              <a:latin typeface="Times New Roman" panose="02020603050405020304" pitchFamily="18" charset="0"/>
              <a:ea typeface="+mn-ea"/>
              <a:cs typeface="Times New Roman" panose="02020603050405020304" pitchFamily="18" charset="0"/>
            </a:rPr>
            <a:t>: In the event the Player sustains an injury rendering him unable to perform, the team is obligated to continue salary payments for the affected season, subject to confirmation by the team's medical staff that the injury occurred during play. Payments cease upon satisfaction of the season's full salary obligation. Workers' compensation benefits and insurance proceeds arranged by the team are offset against amounts owed</a:t>
          </a:r>
          <a:r>
            <a:rPr lang="en-US" sz="1050" b="1" i="0">
              <a:solidFill>
                <a:schemeClr val="dk1"/>
              </a:solidFill>
              <a:effectLst/>
              <a:latin typeface="Times New Roman" panose="02020603050405020304" pitchFamily="18" charset="0"/>
              <a:ea typeface="+mn-ea"/>
              <a:cs typeface="Times New Roman" panose="02020603050405020304" pitchFamily="18" charset="0"/>
            </a:rPr>
            <a:t>.</a:t>
          </a:r>
        </a:p>
        <a:p>
          <a:endParaRPr lang="en-US" sz="1050" b="1">
            <a:latin typeface="Times New Roman" panose="02020603050405020304" pitchFamily="18" charset="0"/>
            <a:cs typeface="Times New Roman" panose="02020603050405020304" pitchFamily="18" charset="0"/>
          </a:endParaRPr>
        </a:p>
        <a:p>
          <a:r>
            <a:rPr lang="en-US" sz="1050" b="1">
              <a:latin typeface="Times New Roman" panose="02020603050405020304" pitchFamily="18" charset="0"/>
              <a:cs typeface="Times New Roman" panose="02020603050405020304" pitchFamily="18" charset="0"/>
            </a:rPr>
            <a:t>Waiver Protoco</a:t>
          </a:r>
          <a:r>
            <a:rPr lang="en-US" sz="1050">
              <a:latin typeface="Times New Roman" panose="02020603050405020304" pitchFamily="18" charset="0"/>
              <a:cs typeface="Times New Roman" panose="02020603050405020304" pitchFamily="18" charset="0"/>
            </a:rPr>
            <a:t>l: If released, the contract must be placed on waivers for 48 hours. Any claiming team assumes the guaranteed salary obligation at a $1,000 acquisition cost. The waiver process is irrevocable once initiated. Guaranteed contract obligations transfer to any claiming team, repayment capacity is preserved regardless of team change.</a:t>
          </a:r>
        </a:p>
        <a:p>
          <a:endParaRPr lang="en-US" sz="1050" b="1">
            <a:latin typeface="Times New Roman" panose="02020603050405020304" pitchFamily="18" charset="0"/>
            <a:cs typeface="Times New Roman" panose="02020603050405020304" pitchFamily="18" charset="0"/>
          </a:endParaRPr>
        </a:p>
        <a:p>
          <a:r>
            <a:rPr lang="en-US" sz="1050" b="1">
              <a:latin typeface="Times New Roman" panose="02020603050405020304" pitchFamily="18" charset="0"/>
              <a:cs typeface="Times New Roman" panose="02020603050405020304" pitchFamily="18" charset="0"/>
            </a:rPr>
            <a:t>Key Risk Consideration</a:t>
          </a:r>
          <a:r>
            <a:rPr lang="en-US" sz="1050">
              <a:latin typeface="Times New Roman" panose="02020603050405020304" pitchFamily="18" charset="0"/>
              <a:cs typeface="Times New Roman" panose="02020603050405020304" pitchFamily="18" charset="0"/>
            </a:rPr>
            <a:t>: In the event of waiver, franchise underperformance, or non-renewal beyond 2027, repayment relies on remaining guaranteed payments and stretch provisions. Based on current projections, full repayment remains feasible under each scenario. </a:t>
          </a:r>
          <a:endParaRPr lang="en-US" sz="1000">
            <a:latin typeface="Times New Roman" panose="02020603050405020304" pitchFamily="18" charset="0"/>
            <a:cs typeface="Times New Roman" panose="02020603050405020304" pitchFamily="18"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9F3802E-57B5-184F-8D58-D89237510676}" name="Table2614" displayName="Table2614" ref="E2:H11" totalsRowShown="0" headerRowDxfId="13" dataDxfId="8">
  <autoFilter ref="E2:H11" xr:uid="{A9F3802E-57B5-184F-8D58-D89237510676}">
    <filterColumn colId="0" hiddenButton="1"/>
    <filterColumn colId="1" hiddenButton="1"/>
    <filterColumn colId="2" hiddenButton="1"/>
    <filterColumn colId="3" hiddenButton="1"/>
  </autoFilter>
  <tableColumns count="4">
    <tableColumn id="1" xr3:uid="{1CFFD0EC-3F0B-FF45-99F1-B722ABB0EFB5}" name="Underwriting Standards: Type" dataDxfId="12"/>
    <tableColumn id="2" xr3:uid="{BE4C461B-56EA-6043-9359-21FE84DFC77E}" name="Guidelines" dataDxfId="11"/>
    <tableColumn id="3" xr3:uid="{C139C4B7-7852-8A4A-B362-82F62885DE13}" name="Pro Forma - Player" dataDxfId="10"/>
    <tableColumn id="4" xr3:uid="{FFA7C48D-4244-FB4D-B0B5-EB3B6525F085}" name="In Compliance Y/N" dataDxfId="9"/>
  </tableColumns>
  <tableStyleInfo name="Table Style 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BDFAE21-FC08-A14F-9115-9297DF9D48E1}" name="Table1719" displayName="Table1719" ref="J2:K13" headerRowCount="0" totalsRowShown="0" headerRowDxfId="57" dataDxfId="56">
  <tableColumns count="2">
    <tableColumn id="1" xr3:uid="{F870A13C-BC99-CF4D-AE25-058C762F94D1}" name="Input" headerRowDxfId="55" dataDxfId="54"/>
    <tableColumn id="2" xr3:uid="{5AE6369D-4BA3-8F44-A534-9DDCD2DAB715}" name="Terms" headerRowDxfId="53" dataDxfId="52"/>
  </tableColumns>
  <tableStyleInfo name="TableStyleLight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8DB2465-BEBA-954A-9ED9-5B3083EEA4D8}" name="Table15" displayName="Table15" ref="J16:K22" headerRowCount="0" totalsRowShown="0" headerRowBorderDxfId="51" tableBorderDxfId="50">
  <tableColumns count="2">
    <tableColumn id="1" xr3:uid="{F8DAA9D7-2EDE-DE42-BBB8-790674719361}" name="Column1" headerRowDxfId="49" dataDxfId="36"/>
    <tableColumn id="2" xr3:uid="{059C0B25-A663-6144-B80D-9140A5A018D4}" name="Column2" headerRowDxfId="48" dataDxfId="35" dataCellStyle="Currency"/>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524E67-C9F1-9F4A-A9C2-330302513D79}" name="tblSensitivity" displayName="tblSensitivity" ref="B3:G9" totalsRowShown="0" headerRowDxfId="44" dataDxfId="14" headerRowBorderDxfId="46" tableBorderDxfId="47" totalsRowBorderDxfId="45">
  <autoFilter ref="B3:G9" xr:uid="{01524E67-C9F1-9F4A-A9C2-330302513D79}">
    <filterColumn colId="0" hiddenButton="1"/>
    <filterColumn colId="1" hiddenButton="1"/>
    <filterColumn colId="2" hiddenButton="1"/>
    <filterColumn colId="3" hiddenButton="1"/>
    <filterColumn colId="4" hiddenButton="1"/>
    <filterColumn colId="5" hiddenButton="1"/>
  </autoFilter>
  <tableColumns count="6">
    <tableColumn id="1" xr3:uid="{DE25F491-1926-504A-8E6E-9CA0D6D0F1A5}" name="Rate \ Term" dataDxfId="20"/>
    <tableColumn id="2" xr3:uid="{9198005F-6F38-1F44-8B97-9ED6146C24EF}" name="24 Mo" dataDxfId="19">
      <calculatedColumnFormula>-PMT(tblSensitivity[[#This Row],[Rate \ Term]]/12,12,Amount)*12 -Amount</calculatedColumnFormula>
    </tableColumn>
    <tableColumn id="3" xr3:uid="{6624B314-208F-D942-A7CC-2C496B41402E}" name="30 Mo" dataDxfId="18">
      <calculatedColumnFormula>-PMT(tblSensitivity[[#This Row],[Rate \ Term]]/12,18, Amount)*18-Amount</calculatedColumnFormula>
    </tableColumn>
    <tableColumn id="4" xr3:uid="{499237AF-0362-0645-A02F-4938A2B40909}" name="36 Mo" dataDxfId="17">
      <calculatedColumnFormula>-PMT(tblSensitivity[[#This Row],[Rate \ Term]]/12,24,Amount)*24 -Amount</calculatedColumnFormula>
    </tableColumn>
    <tableColumn id="5" xr3:uid="{70123E70-3302-504B-8D49-EFF4CA0711A6}" name="42 Mo" dataDxfId="16">
      <calculatedColumnFormula>-PMT(tblSensitivity[[#This Row],[Rate \ Term]]/12,30,Amount)*30 -Amount</calculatedColumnFormula>
    </tableColumn>
    <tableColumn id="6" xr3:uid="{28A00555-406E-B744-8672-44471841A72C}" name="48 Mo" dataDxfId="15">
      <calculatedColumnFormula>-PMT(tblSensitivity[[#This Row],[Rate \ Term]]/12,36,Amount)*36 -Amount</calculatedColumnFormula>
    </tableColumn>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CC2EA81-5BD7-DE42-BD9C-00BDA30653A5}" name="tblSensitivityDSCR" displayName="tblSensitivityDSCR" ref="B14:G20" totalsRowShown="0" headerRowDxfId="21" dataDxfId="22" headerRowBorderDxfId="30" tableBorderDxfId="31" totalsRowBorderDxfId="29">
  <autoFilter ref="B14:G20" xr:uid="{3CC2EA81-5BD7-DE42-BD9C-00BDA30653A5}">
    <filterColumn colId="0" hiddenButton="1"/>
    <filterColumn colId="1" hiddenButton="1"/>
    <filterColumn colId="2" hiddenButton="1"/>
    <filterColumn colId="3" hiddenButton="1"/>
    <filterColumn colId="4" hiddenButton="1"/>
    <filterColumn colId="5" hiddenButton="1"/>
  </autoFilter>
  <tableColumns count="6">
    <tableColumn id="1" xr3:uid="{139A8757-9BAE-784F-80CE-BF1DCC7DEC6A}" name="Rate \ Term" dataDxfId="28"/>
    <tableColumn id="2" xr3:uid="{3ED1BF7B-27C6-6E42-9712-8584A824A6E5}" name="24 Mo" dataDxfId="27">
      <calculatedColumnFormula>'Cash Flow'!$F$15/(PMT(tblSensitivityDSCR[[#This Row],[Rate \ Term]]/12, 12, -Amount)*12)</calculatedColumnFormula>
    </tableColumn>
    <tableColumn id="3" xr3:uid="{E15A9AF9-DA4F-444F-A6E7-2E24E1D80C39}" name="30 Mo" dataDxfId="26" dataCellStyle="Currency">
      <calculatedColumnFormula>'Cash Flow'!$F$15/(PMT(tblSensitivityDSCR[[#This Row],[Rate \ Term]]/12, 18, -Amount)*12)</calculatedColumnFormula>
    </tableColumn>
    <tableColumn id="4" xr3:uid="{B8320C8B-42D5-7147-A191-C67780909F16}" name="36 Mo" dataDxfId="25" dataCellStyle="Currency">
      <calculatedColumnFormula>'Cash Flow'!$F$15/(PMT(tblSensitivityDSCR[[#This Row],[Rate \ Term]]/12, 24, -Amount)*12)</calculatedColumnFormula>
    </tableColumn>
    <tableColumn id="5" xr3:uid="{11909D66-31F5-854F-B1FB-40ED7E735401}" name="42 Mo" dataDxfId="24" dataCellStyle="Currency">
      <calculatedColumnFormula>'Cash Flow'!$F$15/(PMT(tblSensitivityDSCR[[#This Row],[Rate \ Term]]/12, 30, -Amount)*12)</calculatedColumnFormula>
    </tableColumn>
    <tableColumn id="6" xr3:uid="{139D6872-2C92-0B44-B4EA-F6ECE4DCE630}" name="48 Mo" dataDxfId="23" dataCellStyle="Currency">
      <calculatedColumnFormula>'Cash Flow'!$F$15/(PMT(tblSensitivityDSCR[[#This Row],[Rate \ Term]]/12, 36, -Amount)*12)</calculatedColumnFormula>
    </tableColumn>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E0D8EE1-057D-744D-95DA-E3ABD8A02DA4}" name="tblProperty15" displayName="tblProperty15" ref="B22:H27" totalsRowShown="0" headerRowDxfId="7" dataDxfId="34" headerRowBorderDxfId="32" tableBorderDxfId="33">
  <autoFilter ref="B22:H27" xr:uid="{8E0D8EE1-057D-744D-95DA-E3ABD8A02DA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04CA67D-D803-2D43-B648-85B90DA7B753}" name="Personal Residence Address " dataDxfId="43"/>
    <tableColumn id="2" xr3:uid="{815B2CEA-D17E-0B42-BAD3-985E2E727ECD}" name="Loan Balance" dataDxfId="42" dataCellStyle="Currency"/>
    <tableColumn id="3" xr3:uid="{98613281-257C-4846-B32D-225A14A17D27}" name="PMT" dataDxfId="41" dataCellStyle="Currency"/>
    <tableColumn id="6" xr3:uid="{F7ECE510-1801-A443-879C-2C48B54ACABA}" name="Rate" dataDxfId="40" dataCellStyle="Percent"/>
    <tableColumn id="7" xr3:uid="{4F38E4E3-940B-9D4E-89EC-D79264CFCA5E}" name="Maturity" dataDxfId="39"/>
    <tableColumn id="5" xr3:uid="{D2C32ED9-6098-9D4F-BE75-FE1E5CFA9B7B}" name="Principal" dataDxfId="38" dataCellStyle="Currency"/>
    <tableColumn id="8" xr3:uid="{20E03F09-CCA2-1148-A94F-2078B87296DA}" name="Origination Date" dataDxfId="37" dataCellStyle="Currency"/>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66F06-9BC4-0246-AC4C-D6009566AFAC}">
  <sheetPr>
    <tabColor theme="3"/>
  </sheetPr>
  <dimension ref="B2:D14"/>
  <sheetViews>
    <sheetView showGridLines="0" workbookViewId="0">
      <selection activeCell="C15" sqref="C15"/>
    </sheetView>
  </sheetViews>
  <sheetFormatPr baseColWidth="10" defaultRowHeight="16" x14ac:dyDescent="0.2"/>
  <cols>
    <col min="1" max="1" width="21.1640625" customWidth="1"/>
    <col min="2" max="2" width="13.6640625" customWidth="1"/>
    <col min="3" max="3" width="60.33203125" customWidth="1"/>
    <col min="4" max="4" width="10" customWidth="1"/>
    <col min="5" max="5" width="41" customWidth="1"/>
    <col min="6" max="6" width="15.83203125" customWidth="1"/>
  </cols>
  <sheetData>
    <row r="2" spans="2:4" s="218" customFormat="1" ht="23" customHeight="1" x14ac:dyDescent="0.2">
      <c r="B2" s="128" t="s">
        <v>264</v>
      </c>
      <c r="C2" s="128"/>
      <c r="D2" s="128"/>
    </row>
    <row r="3" spans="2:4" ht="17" thickBot="1" x14ac:dyDescent="0.25">
      <c r="B3" s="305" t="s">
        <v>253</v>
      </c>
      <c r="C3" s="305"/>
      <c r="D3" s="305"/>
    </row>
    <row r="4" spans="2:4" ht="20" customHeight="1" x14ac:dyDescent="0.2">
      <c r="B4" s="306" t="s">
        <v>219</v>
      </c>
      <c r="C4" s="306" t="s">
        <v>220</v>
      </c>
      <c r="D4" s="306" t="s">
        <v>221</v>
      </c>
    </row>
    <row r="5" spans="2:4" ht="32" customHeight="1" x14ac:dyDescent="0.2">
      <c r="B5" s="306" t="s">
        <v>110</v>
      </c>
      <c r="C5" s="304" t="s">
        <v>259</v>
      </c>
      <c r="D5" s="307" t="s">
        <v>222</v>
      </c>
    </row>
    <row r="6" spans="2:4" ht="32" customHeight="1" x14ac:dyDescent="0.2">
      <c r="B6" s="306" t="s">
        <v>93</v>
      </c>
      <c r="C6" s="304" t="s">
        <v>254</v>
      </c>
      <c r="D6" s="307" t="s">
        <v>223</v>
      </c>
    </row>
    <row r="7" spans="2:4" ht="32" customHeight="1" x14ac:dyDescent="0.2">
      <c r="B7" s="306" t="s">
        <v>224</v>
      </c>
      <c r="C7" s="304" t="s">
        <v>261</v>
      </c>
      <c r="D7" s="307" t="s">
        <v>225</v>
      </c>
    </row>
    <row r="8" spans="2:4" ht="32" customHeight="1" x14ac:dyDescent="0.2">
      <c r="B8" s="306" t="s">
        <v>226</v>
      </c>
      <c r="C8" s="304" t="s">
        <v>255</v>
      </c>
      <c r="D8" s="307" t="s">
        <v>227</v>
      </c>
    </row>
    <row r="9" spans="2:4" ht="32" customHeight="1" x14ac:dyDescent="0.2">
      <c r="B9" s="306" t="s">
        <v>228</v>
      </c>
      <c r="C9" s="304" t="s">
        <v>260</v>
      </c>
      <c r="D9" s="307" t="s">
        <v>229</v>
      </c>
    </row>
    <row r="10" spans="2:4" ht="32" customHeight="1" x14ac:dyDescent="0.2">
      <c r="B10" s="306" t="s">
        <v>155</v>
      </c>
      <c r="C10" s="304" t="s">
        <v>256</v>
      </c>
      <c r="D10" s="307" t="s">
        <v>230</v>
      </c>
    </row>
    <row r="11" spans="2:4" ht="32" customHeight="1" x14ac:dyDescent="0.2">
      <c r="B11" s="306" t="s">
        <v>231</v>
      </c>
      <c r="C11" s="304" t="s">
        <v>257</v>
      </c>
      <c r="D11" s="307" t="s">
        <v>232</v>
      </c>
    </row>
    <row r="12" spans="2:4" ht="32" customHeight="1" x14ac:dyDescent="0.2">
      <c r="B12" s="306" t="s">
        <v>233</v>
      </c>
      <c r="C12" s="304" t="s">
        <v>258</v>
      </c>
      <c r="D12" s="307" t="s">
        <v>234</v>
      </c>
    </row>
    <row r="13" spans="2:4" x14ac:dyDescent="0.2">
      <c r="B13" s="3"/>
      <c r="C13" s="3"/>
      <c r="D13" s="3"/>
    </row>
    <row r="14" spans="2:4" x14ac:dyDescent="0.2">
      <c r="B14" s="289" t="s">
        <v>235</v>
      </c>
      <c r="C14" s="3"/>
      <c r="D14" s="3"/>
    </row>
  </sheetData>
  <mergeCells count="2">
    <mergeCell ref="B2:D2"/>
    <mergeCell ref="B3: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85D80-2EEA-D744-A50A-CF1040A597AE}">
  <sheetPr>
    <tabColor theme="4" tint="-0.249977111117893"/>
  </sheetPr>
  <dimension ref="A1:I41"/>
  <sheetViews>
    <sheetView showGridLines="0" zoomScaleNormal="100" workbookViewId="0">
      <selection activeCell="I10" sqref="I10"/>
    </sheetView>
  </sheetViews>
  <sheetFormatPr baseColWidth="10" defaultRowHeight="16" x14ac:dyDescent="0.2"/>
  <cols>
    <col min="1" max="1" width="26.1640625" style="3" customWidth="1"/>
    <col min="2" max="2" width="55.1640625" style="3" customWidth="1"/>
    <col min="3" max="3" width="24.6640625" style="3" customWidth="1"/>
    <col min="4" max="4" width="7.83203125" style="3" customWidth="1"/>
    <col min="5" max="5" width="22.1640625" style="3" bestFit="1" customWidth="1"/>
    <col min="6" max="6" width="67.1640625" style="3" customWidth="1"/>
    <col min="7" max="7" width="1.6640625" style="3" customWidth="1"/>
    <col min="8" max="8" width="2.6640625" style="3" hidden="1" customWidth="1"/>
    <col min="9" max="9" width="34.1640625" style="3" bestFit="1" customWidth="1"/>
    <col min="10" max="10" width="34.83203125" style="3" bestFit="1" customWidth="1"/>
    <col min="11" max="16384" width="10.83203125" style="3"/>
  </cols>
  <sheetData>
    <row r="1" spans="1:9" s="91" customFormat="1" ht="25" customHeight="1" x14ac:dyDescent="0.2">
      <c r="A1" s="3"/>
      <c r="B1" s="99" t="s">
        <v>169</v>
      </c>
      <c r="C1" s="99"/>
      <c r="D1" s="99"/>
      <c r="E1" s="99"/>
      <c r="F1" s="99"/>
      <c r="G1" s="99"/>
      <c r="H1" s="99"/>
      <c r="I1" s="3"/>
    </row>
    <row r="3" spans="1:9" ht="18" x14ac:dyDescent="0.2">
      <c r="B3" s="115"/>
    </row>
    <row r="4" spans="1:9" x14ac:dyDescent="0.2">
      <c r="B4" s="85"/>
      <c r="C4" s="220"/>
    </row>
    <row r="9" spans="1:9" x14ac:dyDescent="0.2">
      <c r="H9"/>
    </row>
    <row r="23" spans="2:6" ht="18" x14ac:dyDescent="0.2">
      <c r="B23" s="75" t="s">
        <v>209</v>
      </c>
      <c r="C23" s="75">
        <v>2</v>
      </c>
      <c r="E23" s="271" t="s">
        <v>86</v>
      </c>
      <c r="F23" s="272"/>
    </row>
    <row r="24" spans="2:6" x14ac:dyDescent="0.2">
      <c r="B24" s="75" t="s">
        <v>79</v>
      </c>
      <c r="C24" s="75">
        <v>3</v>
      </c>
      <c r="E24" s="54" t="s">
        <v>83</v>
      </c>
      <c r="F24" s="55" t="s">
        <v>111</v>
      </c>
    </row>
    <row r="25" spans="2:6" x14ac:dyDescent="0.2">
      <c r="B25" s="75" t="s">
        <v>139</v>
      </c>
      <c r="C25" s="75">
        <v>2</v>
      </c>
      <c r="E25" s="54" t="s">
        <v>82</v>
      </c>
      <c r="F25" s="275" t="s">
        <v>81</v>
      </c>
    </row>
    <row r="26" spans="2:6" x14ac:dyDescent="0.2">
      <c r="B26" s="75" t="s">
        <v>133</v>
      </c>
      <c r="C26" s="75">
        <v>2</v>
      </c>
      <c r="E26" s="162" t="s">
        <v>148</v>
      </c>
      <c r="F26" s="276" t="s">
        <v>149</v>
      </c>
    </row>
    <row r="27" spans="2:6" x14ac:dyDescent="0.2">
      <c r="B27" s="75" t="s">
        <v>134</v>
      </c>
      <c r="C27" s="75">
        <v>2</v>
      </c>
      <c r="E27" s="39" t="s">
        <v>84</v>
      </c>
      <c r="F27" s="277">
        <f>Amount</f>
        <v>10250000</v>
      </c>
    </row>
    <row r="28" spans="2:6" x14ac:dyDescent="0.2">
      <c r="D28" s="76"/>
      <c r="E28" s="39" t="s">
        <v>108</v>
      </c>
      <c r="F28" s="55" t="s">
        <v>21</v>
      </c>
    </row>
    <row r="29" spans="2:6" x14ac:dyDescent="0.2">
      <c r="B29" s="9" t="s">
        <v>146</v>
      </c>
      <c r="C29" s="267" t="s">
        <v>147</v>
      </c>
      <c r="E29" s="39" t="s">
        <v>85</v>
      </c>
      <c r="F29" s="278">
        <v>0.13</v>
      </c>
    </row>
    <row r="30" spans="2:6" x14ac:dyDescent="0.2">
      <c r="B30" s="9" t="s">
        <v>118</v>
      </c>
      <c r="C30" s="268">
        <v>45693</v>
      </c>
      <c r="E30" s="39" t="s">
        <v>176</v>
      </c>
      <c r="F30" s="278">
        <v>0.03</v>
      </c>
    </row>
    <row r="31" spans="2:6" x14ac:dyDescent="0.2">
      <c r="B31" s="84" t="s">
        <v>208</v>
      </c>
      <c r="E31" s="56" t="s">
        <v>175</v>
      </c>
      <c r="F31" s="279">
        <v>0.01</v>
      </c>
    </row>
    <row r="32" spans="2:6" x14ac:dyDescent="0.2">
      <c r="E32" s="56" t="s">
        <v>212</v>
      </c>
      <c r="F32" s="280">
        <f>interest_Reserve</f>
        <v>727689</v>
      </c>
    </row>
    <row r="33" spans="2:6" ht="18" customHeight="1" x14ac:dyDescent="0.2">
      <c r="B33" s="269" t="s">
        <v>211</v>
      </c>
      <c r="C33" s="270" t="s">
        <v>213</v>
      </c>
      <c r="E33" s="281" t="s">
        <v>79</v>
      </c>
      <c r="F33" s="282" t="s">
        <v>215</v>
      </c>
    </row>
    <row r="34" spans="2:6" x14ac:dyDescent="0.2">
      <c r="E34" s="39" t="s">
        <v>77</v>
      </c>
      <c r="F34" s="283" t="s">
        <v>78</v>
      </c>
    </row>
    <row r="35" spans="2:6" x14ac:dyDescent="0.2">
      <c r="E35" s="39" t="s">
        <v>153</v>
      </c>
      <c r="F35" s="284" t="s">
        <v>152</v>
      </c>
    </row>
    <row r="36" spans="2:6" x14ac:dyDescent="0.2">
      <c r="E36" s="39" t="s">
        <v>80</v>
      </c>
      <c r="F36" s="283" t="s">
        <v>111</v>
      </c>
    </row>
    <row r="37" spans="2:6" ht="42" x14ac:dyDescent="0.2">
      <c r="E37" s="285" t="s">
        <v>216</v>
      </c>
      <c r="F37" s="286" t="s">
        <v>217</v>
      </c>
    </row>
    <row r="38" spans="2:6" x14ac:dyDescent="0.2">
      <c r="E38" s="287" t="s">
        <v>151</v>
      </c>
      <c r="F38" s="288" t="s">
        <v>131</v>
      </c>
    </row>
    <row r="39" spans="2:6" x14ac:dyDescent="0.2">
      <c r="E39" s="56" t="s">
        <v>170</v>
      </c>
      <c r="F39" s="274" t="s">
        <v>154</v>
      </c>
    </row>
    <row r="40" spans="2:6" x14ac:dyDescent="0.2">
      <c r="E40" s="56" t="s">
        <v>171</v>
      </c>
      <c r="F40" s="274" t="s">
        <v>150</v>
      </c>
    </row>
    <row r="41" spans="2:6" x14ac:dyDescent="0.2">
      <c r="E41" s="162" t="s">
        <v>166</v>
      </c>
      <c r="F41" s="288" t="s">
        <v>19</v>
      </c>
    </row>
  </sheetData>
  <mergeCells count="2">
    <mergeCell ref="B1:H1"/>
    <mergeCell ref="E23:F23"/>
  </mergeCells>
  <conditionalFormatting sqref="C23:C27">
    <cfRule type="cellIs" dxfId="6" priority="3" operator="equal">
      <formula>1</formula>
    </cfRule>
  </conditionalFormatting>
  <conditionalFormatting sqref="C33">
    <cfRule type="containsText" dxfId="5" priority="1" stopIfTrue="1" operator="containsText" text="Declined">
      <formula>NOT(ISERROR(SEARCH("Declined",C33)))</formula>
    </cfRule>
    <cfRule type="containsText" dxfId="4" priority="2" operator="containsText" text="Approve">
      <formula>NOT(ISERROR(SEARCH("Approve",C33)))</formula>
    </cfRule>
  </conditionalFormatting>
  <dataValidations count="1">
    <dataValidation type="list" operator="equal" allowBlank="1" showInputMessage="1" showErrorMessage="1" sqref="C33" xr:uid="{DEAB28C5-BB09-3541-8EC0-2F0D68EA42AA}">
      <formula1>"Approved, Pending Review, Declined"</formula1>
    </dataValidation>
  </dataValidations>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E947A-360C-9041-932B-66DA922E0D1D}">
  <dimension ref="A2:J21"/>
  <sheetViews>
    <sheetView showGridLines="0" zoomScaleNormal="100" workbookViewId="0">
      <pane ySplit="2" topLeftCell="A3" activePane="bottomLeft" state="frozen"/>
      <selection pane="bottomLeft" activeCell="H22" sqref="H22"/>
    </sheetView>
  </sheetViews>
  <sheetFormatPr baseColWidth="10" defaultRowHeight="16" x14ac:dyDescent="0.2"/>
  <cols>
    <col min="1" max="1" width="26.83203125" style="3" customWidth="1"/>
    <col min="2" max="2" width="22.83203125" style="29" customWidth="1"/>
    <col min="3" max="3" width="50.83203125" style="29" customWidth="1"/>
    <col min="4" max="4" width="12.6640625" style="29" customWidth="1"/>
    <col min="5" max="5" width="38.33203125" style="29" customWidth="1"/>
    <col min="6" max="6" width="15.83203125" customWidth="1"/>
    <col min="7" max="7" width="30" style="29" customWidth="1"/>
    <col min="8" max="8" width="50.83203125" style="29" customWidth="1"/>
    <col min="9" max="9" width="41" style="29" customWidth="1"/>
    <col min="10" max="10" width="71.33203125" style="29" customWidth="1"/>
    <col min="11" max="16384" width="10.83203125" style="29"/>
  </cols>
  <sheetData>
    <row r="2" spans="2:10" ht="20" customHeight="1" x14ac:dyDescent="0.2">
      <c r="B2" s="127" t="s">
        <v>156</v>
      </c>
      <c r="C2" s="330" t="s">
        <v>51</v>
      </c>
      <c r="E2" s="90" t="s">
        <v>262</v>
      </c>
      <c r="F2" s="90" t="s">
        <v>93</v>
      </c>
      <c r="G2" s="90" t="s">
        <v>207</v>
      </c>
      <c r="H2" s="90" t="s">
        <v>96</v>
      </c>
    </row>
    <row r="3" spans="2:10" x14ac:dyDescent="0.2">
      <c r="B3" s="331" t="s">
        <v>24</v>
      </c>
      <c r="C3" s="332">
        <f>DSCR</f>
        <v>4.3325404449685454</v>
      </c>
      <c r="E3" s="6" t="s">
        <v>89</v>
      </c>
      <c r="F3" s="57">
        <v>0.25</v>
      </c>
      <c r="G3" s="58">
        <f>Amount/Salary_Remain</f>
        <v>0.11790849697863215</v>
      </c>
      <c r="H3" s="15" t="s">
        <v>97</v>
      </c>
    </row>
    <row r="4" spans="2:10" x14ac:dyDescent="0.2">
      <c r="B4" s="331" t="s">
        <v>161</v>
      </c>
      <c r="C4" s="333">
        <f>Amount/Salary_Remain</f>
        <v>0.11790849697863215</v>
      </c>
      <c r="E4" s="6" t="s">
        <v>157</v>
      </c>
      <c r="F4" s="59">
        <v>2.5</v>
      </c>
      <c r="G4" s="60">
        <f>DSCR</f>
        <v>4.3325404449685454</v>
      </c>
      <c r="H4" s="15" t="s">
        <v>97</v>
      </c>
    </row>
    <row r="5" spans="2:10" x14ac:dyDescent="0.2">
      <c r="B5" s="331" t="s">
        <v>105</v>
      </c>
      <c r="C5" s="334">
        <f>Liabilities/Assets</f>
        <v>0.16781624164773279</v>
      </c>
      <c r="E5" s="6" t="s">
        <v>90</v>
      </c>
      <c r="F5" s="57">
        <v>0.1</v>
      </c>
      <c r="G5" s="61">
        <v>0.1</v>
      </c>
      <c r="H5" s="15" t="s">
        <v>97</v>
      </c>
    </row>
    <row r="6" spans="2:10" x14ac:dyDescent="0.2">
      <c r="B6" s="331" t="s">
        <v>160</v>
      </c>
      <c r="C6" s="332">
        <f>('Cash Flow'!D15)/(Inputs!D3*Inputs!D4)</f>
        <v>12.257760424390245</v>
      </c>
      <c r="E6" s="6" t="s">
        <v>91</v>
      </c>
      <c r="F6" s="15" t="s">
        <v>21</v>
      </c>
      <c r="G6" s="15" t="s">
        <v>21</v>
      </c>
      <c r="H6" s="15" t="s">
        <v>97</v>
      </c>
    </row>
    <row r="7" spans="2:10" x14ac:dyDescent="0.2">
      <c r="B7" s="331" t="s">
        <v>106</v>
      </c>
      <c r="C7" s="335">
        <f>Credit_Score</f>
        <v>680</v>
      </c>
      <c r="E7" s="6" t="s">
        <v>162</v>
      </c>
      <c r="F7" s="15" t="s">
        <v>21</v>
      </c>
      <c r="G7" s="15" t="s">
        <v>94</v>
      </c>
      <c r="H7" s="15" t="s">
        <v>97</v>
      </c>
    </row>
    <row r="8" spans="2:10" x14ac:dyDescent="0.2">
      <c r="B8" s="331" t="s">
        <v>252</v>
      </c>
      <c r="C8" s="333">
        <f>'Cash Flow'!G28/Salary_Contract</f>
        <v>0.4049777645615672</v>
      </c>
      <c r="E8" s="6" t="s">
        <v>92</v>
      </c>
      <c r="F8" s="15" t="s">
        <v>95</v>
      </c>
      <c r="G8" s="15" t="s">
        <v>87</v>
      </c>
      <c r="H8" s="15" t="s">
        <v>97</v>
      </c>
      <c r="I8"/>
      <c r="J8"/>
    </row>
    <row r="9" spans="2:10" x14ac:dyDescent="0.2">
      <c r="B9" s="331" t="s">
        <v>158</v>
      </c>
      <c r="C9" s="332">
        <f>Salary_Remain/Amount</f>
        <v>8.4811529756097563</v>
      </c>
      <c r="E9" s="6" t="s">
        <v>163</v>
      </c>
      <c r="F9" s="15" t="s">
        <v>88</v>
      </c>
      <c r="G9" s="15" t="s">
        <v>88</v>
      </c>
      <c r="H9" s="15" t="s">
        <v>97</v>
      </c>
      <c r="J9"/>
    </row>
    <row r="10" spans="2:10" x14ac:dyDescent="0.2">
      <c r="B10" s="331" t="s">
        <v>159</v>
      </c>
      <c r="C10" s="336">
        <f>(PFS!C6+PFS!C7)/Debt_mnth</f>
        <v>57.494372748951392</v>
      </c>
      <c r="E10" s="6" t="s">
        <v>165</v>
      </c>
      <c r="F10" s="15">
        <v>0.5</v>
      </c>
      <c r="G10" s="157">
        <f>Liabilities/Assets</f>
        <v>0.16781624164773279</v>
      </c>
      <c r="H10" s="15" t="s">
        <v>97</v>
      </c>
      <c r="J10" s="238"/>
    </row>
    <row r="11" spans="2:10" x14ac:dyDescent="0.2">
      <c r="B11" s="331" t="s">
        <v>107</v>
      </c>
      <c r="C11" s="337">
        <f>Debt_mnth/income_mnth</f>
        <v>2.3268263101539927E-2</v>
      </c>
      <c r="E11" s="6" t="s">
        <v>106</v>
      </c>
      <c r="F11" s="15">
        <v>675</v>
      </c>
      <c r="G11" s="15">
        <v>680</v>
      </c>
      <c r="H11" s="15" t="s">
        <v>97</v>
      </c>
      <c r="J11"/>
    </row>
    <row r="12" spans="2:10" x14ac:dyDescent="0.2">
      <c r="B12" s="338" t="s">
        <v>135</v>
      </c>
      <c r="C12" s="339">
        <f>(Debt_mnth+PMT_Mnth)/income_mnth</f>
        <v>0.21176375475768844</v>
      </c>
      <c r="J12" s="238"/>
    </row>
    <row r="13" spans="2:10" x14ac:dyDescent="0.2">
      <c r="B13" s="302"/>
      <c r="C13" s="303"/>
      <c r="E13" s="6"/>
      <c r="F13" s="15"/>
      <c r="G13" s="15"/>
      <c r="H13" s="15"/>
      <c r="J13" s="238"/>
    </row>
    <row r="14" spans="2:10" ht="27" customHeight="1" x14ac:dyDescent="0.2">
      <c r="B14" s="301" t="s">
        <v>251</v>
      </c>
      <c r="C14" s="301"/>
      <c r="J14"/>
    </row>
    <row r="15" spans="2:10" x14ac:dyDescent="0.2">
      <c r="J15" s="238"/>
    </row>
    <row r="16" spans="2:10" x14ac:dyDescent="0.2">
      <c r="B16" s="219" t="s">
        <v>250</v>
      </c>
      <c r="C16" s="219"/>
      <c r="D16" s="219"/>
      <c r="E16" s="219"/>
      <c r="F16" s="219"/>
    </row>
    <row r="17" spans="2:6" ht="17" x14ac:dyDescent="0.2">
      <c r="B17" s="293" t="s">
        <v>236</v>
      </c>
      <c r="C17" s="294" t="s">
        <v>220</v>
      </c>
      <c r="D17" s="295" t="s">
        <v>237</v>
      </c>
      <c r="E17" s="294" t="s">
        <v>238</v>
      </c>
      <c r="F17" s="293" t="s">
        <v>239</v>
      </c>
    </row>
    <row r="18" spans="2:6" ht="79" customHeight="1" x14ac:dyDescent="0.2">
      <c r="B18" s="292" t="s">
        <v>240</v>
      </c>
      <c r="C18" s="304" t="s">
        <v>242</v>
      </c>
      <c r="D18" s="291" t="s">
        <v>241</v>
      </c>
      <c r="E18" s="290" t="s">
        <v>243</v>
      </c>
      <c r="F18" s="291" t="s">
        <v>244</v>
      </c>
    </row>
    <row r="19" spans="2:6" ht="67" customHeight="1" x14ac:dyDescent="0.2">
      <c r="B19" s="292" t="s">
        <v>245</v>
      </c>
      <c r="C19" s="304" t="s">
        <v>263</v>
      </c>
      <c r="D19" s="291" t="s">
        <v>244</v>
      </c>
      <c r="E19" s="290" t="s">
        <v>248</v>
      </c>
      <c r="F19" s="291" t="s">
        <v>244</v>
      </c>
    </row>
    <row r="20" spans="2:6" ht="67" customHeight="1" x14ac:dyDescent="0.2">
      <c r="B20" s="292" t="s">
        <v>246</v>
      </c>
      <c r="C20" s="304" t="s">
        <v>247</v>
      </c>
      <c r="D20" s="291" t="s">
        <v>241</v>
      </c>
      <c r="E20" s="290" t="s">
        <v>249</v>
      </c>
      <c r="F20" s="291" t="s">
        <v>244</v>
      </c>
    </row>
    <row r="21" spans="2:6" x14ac:dyDescent="0.2">
      <c r="B21"/>
      <c r="C21"/>
      <c r="D21"/>
      <c r="E21"/>
    </row>
  </sheetData>
  <mergeCells count="2">
    <mergeCell ref="B16:F16"/>
    <mergeCell ref="B14:C14"/>
  </mergeCells>
  <pageMargins left="0.7" right="0.7" top="0.75" bottom="0.75" header="0.3" footer="0.3"/>
  <pageSetup orientation="portrait" horizontalDpi="0" verticalDpi="0"/>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36EF2-7AB5-E246-86FD-947F361ED6D2}">
  <sheetPr>
    <pageSetUpPr fitToPage="1"/>
  </sheetPr>
  <dimension ref="A2:L47"/>
  <sheetViews>
    <sheetView showGridLines="0" tabSelected="1" zoomScaleNormal="100" workbookViewId="0">
      <pane xSplit="2" ySplit="4" topLeftCell="C7" activePane="bottomRight" state="frozen"/>
      <selection pane="topRight" activeCell="C1" sqref="C1"/>
      <selection pane="bottomLeft" activeCell="A5" sqref="A5"/>
      <selection pane="bottomRight" activeCell="K16" sqref="K16"/>
    </sheetView>
  </sheetViews>
  <sheetFormatPr baseColWidth="10" defaultRowHeight="16" outlineLevelRow="2" x14ac:dyDescent="0.2"/>
  <cols>
    <col min="1" max="1" width="26.83203125" style="3" customWidth="1"/>
    <col min="2" max="2" width="33.1640625" style="3" customWidth="1"/>
    <col min="3" max="3" width="13" style="3" customWidth="1"/>
    <col min="4" max="4" width="15" style="3" bestFit="1" customWidth="1"/>
    <col min="5" max="6" width="13" style="3" bestFit="1" customWidth="1"/>
    <col min="7" max="7" width="12.5" style="3" customWidth="1"/>
    <col min="8" max="16384" width="10.83203125" style="3"/>
  </cols>
  <sheetData>
    <row r="2" spans="1:7" s="4" customFormat="1" ht="21" customHeight="1" x14ac:dyDescent="0.2">
      <c r="A2" s="3"/>
      <c r="B2" s="121" t="s">
        <v>53</v>
      </c>
      <c r="C2" s="121"/>
      <c r="D2" s="121"/>
      <c r="E2" s="121"/>
      <c r="F2" s="121"/>
      <c r="G2" s="121"/>
    </row>
    <row r="3" spans="1:7" ht="13" customHeight="1" x14ac:dyDescent="0.2">
      <c r="B3" s="51"/>
      <c r="C3" s="36"/>
      <c r="D3" s="116" t="s">
        <v>62</v>
      </c>
      <c r="E3" s="116"/>
      <c r="F3" s="116"/>
      <c r="G3" s="109"/>
    </row>
    <row r="4" spans="1:7" x14ac:dyDescent="0.2">
      <c r="B4" s="37" t="s">
        <v>51</v>
      </c>
      <c r="C4" s="48" t="s">
        <v>44</v>
      </c>
      <c r="D4" s="49" t="s">
        <v>46</v>
      </c>
      <c r="E4" s="49" t="s">
        <v>47</v>
      </c>
      <c r="F4" s="49" t="s">
        <v>48</v>
      </c>
      <c r="G4" s="110" t="s">
        <v>64</v>
      </c>
    </row>
    <row r="5" spans="1:7" x14ac:dyDescent="0.2">
      <c r="B5" s="38" t="s">
        <v>10</v>
      </c>
      <c r="C5" s="167">
        <f>Contract_Y1</f>
        <v>33068182</v>
      </c>
      <c r="D5" s="175">
        <f>Contract_Y2</f>
        <v>31022727</v>
      </c>
      <c r="E5" s="175">
        <f>Contract_Y3</f>
        <v>28977273</v>
      </c>
      <c r="F5" s="176">
        <f>Contract_Y4</f>
        <v>26931818</v>
      </c>
      <c r="G5" s="176">
        <f>SUM(C5:F5)</f>
        <v>120000000</v>
      </c>
    </row>
    <row r="6" spans="1:7" x14ac:dyDescent="0.2">
      <c r="B6" s="47" t="s">
        <v>63</v>
      </c>
      <c r="C6" s="174">
        <f>C5</f>
        <v>33068182</v>
      </c>
      <c r="D6" s="163">
        <f>D5</f>
        <v>31022727</v>
      </c>
      <c r="E6" s="163">
        <f>E5</f>
        <v>28977273</v>
      </c>
      <c r="F6" s="164">
        <f>F5</f>
        <v>26931818</v>
      </c>
      <c r="G6" s="163">
        <f>SUM(C6:F6)</f>
        <v>120000000</v>
      </c>
    </row>
    <row r="7" spans="1:7" x14ac:dyDescent="0.2">
      <c r="B7" s="39" t="s">
        <v>55</v>
      </c>
      <c r="C7" s="174"/>
      <c r="D7" s="163"/>
      <c r="E7" s="163"/>
      <c r="F7" s="164"/>
      <c r="G7" s="163"/>
    </row>
    <row r="8" spans="1:7" x14ac:dyDescent="0.2">
      <c r="B8" s="40" t="s">
        <v>54</v>
      </c>
      <c r="C8" s="174">
        <f>C5*0.1</f>
        <v>3306818.2</v>
      </c>
      <c r="D8" s="163">
        <f>D5*0.1</f>
        <v>3102272.7</v>
      </c>
      <c r="E8" s="163">
        <f t="shared" ref="E8:F8" si="0">E5*0.1</f>
        <v>2897727.3000000003</v>
      </c>
      <c r="F8" s="164">
        <f t="shared" si="0"/>
        <v>2693181.8000000003</v>
      </c>
      <c r="G8" s="163">
        <f>SUM(C8:F8)</f>
        <v>12000000.000000002</v>
      </c>
    </row>
    <row r="9" spans="1:7" x14ac:dyDescent="0.2">
      <c r="B9" s="40" t="s">
        <v>57</v>
      </c>
      <c r="C9" s="174">
        <f>(C5-C8)*0.35</f>
        <v>10416477.33</v>
      </c>
      <c r="D9" s="163">
        <f t="shared" ref="D9:F9" si="1">(D5-D8)*0.35</f>
        <v>9772159.004999999</v>
      </c>
      <c r="E9" s="163">
        <f t="shared" si="1"/>
        <v>9127840.9949999992</v>
      </c>
      <c r="F9" s="164">
        <f t="shared" si="1"/>
        <v>8483522.6699999999</v>
      </c>
      <c r="G9" s="163">
        <f>SUM(C9:F9)</f>
        <v>37800000</v>
      </c>
    </row>
    <row r="10" spans="1:7" x14ac:dyDescent="0.2">
      <c r="B10" s="38"/>
      <c r="C10" s="174"/>
      <c r="D10" s="163"/>
      <c r="E10" s="163"/>
      <c r="F10" s="164"/>
      <c r="G10" s="163"/>
    </row>
    <row r="11" spans="1:7" x14ac:dyDescent="0.2">
      <c r="B11" s="41" t="s">
        <v>52</v>
      </c>
      <c r="C11" s="228">
        <f>C5-C8-C9</f>
        <v>19344886.469999999</v>
      </c>
      <c r="D11" s="228">
        <f>D5-D8-D9</f>
        <v>18148295.295000002</v>
      </c>
      <c r="E11" s="228">
        <f>E5-E8-E9</f>
        <v>16951704.704999998</v>
      </c>
      <c r="F11" s="228">
        <f>F5-F8-F9</f>
        <v>15755113.529999999</v>
      </c>
      <c r="G11" s="228">
        <f t="shared" ref="G11" si="2">SUM(C11:F11)</f>
        <v>70200000</v>
      </c>
    </row>
    <row r="12" spans="1:7" x14ac:dyDescent="0.2">
      <c r="B12" s="42" t="s">
        <v>55</v>
      </c>
      <c r="C12" s="67"/>
      <c r="D12" s="68"/>
      <c r="E12" s="68"/>
      <c r="F12" s="68"/>
      <c r="G12" s="69"/>
    </row>
    <row r="13" spans="1:7" x14ac:dyDescent="0.2">
      <c r="B13" s="38" t="s">
        <v>9</v>
      </c>
      <c r="C13" s="174">
        <f>C11*0.1</f>
        <v>1934488.6469999999</v>
      </c>
      <c r="D13" s="163">
        <f>D11*0.1</f>
        <v>1814829.5295000002</v>
      </c>
      <c r="E13" s="163">
        <f>E11*0.1</f>
        <v>1695170.4704999998</v>
      </c>
      <c r="F13" s="164">
        <f t="shared" ref="F13" si="3">F11*0.1</f>
        <v>1575511.3530000001</v>
      </c>
      <c r="G13" s="163">
        <f>SUM(C13:F13)</f>
        <v>7020000</v>
      </c>
    </row>
    <row r="14" spans="1:7" x14ac:dyDescent="0.2">
      <c r="B14" s="38"/>
      <c r="C14" s="170"/>
      <c r="D14" s="71"/>
      <c r="E14" s="71"/>
      <c r="F14" s="71"/>
      <c r="G14" s="70"/>
    </row>
    <row r="15" spans="1:7" x14ac:dyDescent="0.2">
      <c r="B15" s="39" t="s">
        <v>56</v>
      </c>
      <c r="C15" s="228">
        <f>C11-C13</f>
        <v>17410397.822999999</v>
      </c>
      <c r="D15" s="228">
        <f t="shared" ref="D15:F15" si="4">D11-D13</f>
        <v>16333465.765500002</v>
      </c>
      <c r="E15" s="228">
        <f t="shared" si="4"/>
        <v>15256534.234499998</v>
      </c>
      <c r="F15" s="228">
        <f t="shared" si="4"/>
        <v>14179602.176999999</v>
      </c>
      <c r="G15" s="228">
        <f>SUM(C15:F15)</f>
        <v>63180000</v>
      </c>
    </row>
    <row r="16" spans="1:7" x14ac:dyDescent="0.2">
      <c r="B16" s="43"/>
      <c r="C16" s="171"/>
      <c r="D16" s="73"/>
      <c r="E16" s="73"/>
      <c r="F16" s="73"/>
      <c r="G16" s="72"/>
    </row>
    <row r="17" spans="2:7" x14ac:dyDescent="0.2">
      <c r="B17" s="42" t="s">
        <v>55</v>
      </c>
      <c r="C17" s="171"/>
      <c r="D17" s="73"/>
      <c r="E17" s="73"/>
      <c r="F17" s="73"/>
      <c r="G17" s="72"/>
    </row>
    <row r="18" spans="2:7" outlineLevel="2" x14ac:dyDescent="0.2">
      <c r="B18" s="44" t="s">
        <v>137</v>
      </c>
      <c r="C18" s="172">
        <v>0</v>
      </c>
      <c r="D18" s="165">
        <v>0</v>
      </c>
      <c r="E18" s="165">
        <f>PMT(rate/12,(Term-12),-Amount)*12</f>
        <v>5847644.1783794742</v>
      </c>
      <c r="F18" s="166">
        <f>PMT(rate/12,(Term-12),-Amount)*12</f>
        <v>5847644.1783794742</v>
      </c>
      <c r="G18" s="177">
        <f>SUM(C18:F18)</f>
        <v>11695288.356758948</v>
      </c>
    </row>
    <row r="19" spans="2:7" outlineLevel="1" x14ac:dyDescent="0.2">
      <c r="B19" s="45" t="s">
        <v>181</v>
      </c>
      <c r="C19" s="174">
        <f>Inputs!$D$24*12</f>
        <v>230280</v>
      </c>
      <c r="D19" s="163">
        <f>Inputs!$D$24*12</f>
        <v>230280</v>
      </c>
      <c r="E19" s="163">
        <f>Inputs!$D$24*12</f>
        <v>230280</v>
      </c>
      <c r="F19" s="164">
        <f>Inputs!$D$24*12</f>
        <v>230280</v>
      </c>
      <c r="G19" s="163">
        <f t="shared" ref="G19:G26" si="5">SUM(C19:F19)</f>
        <v>921120</v>
      </c>
    </row>
    <row r="20" spans="2:7" outlineLevel="1" x14ac:dyDescent="0.2">
      <c r="B20" s="45" t="s">
        <v>180</v>
      </c>
      <c r="C20" s="174">
        <f>Inputs!$D$23*12</f>
        <v>114300</v>
      </c>
      <c r="D20" s="163">
        <f>Inputs!$D$23*12</f>
        <v>114300</v>
      </c>
      <c r="E20" s="163">
        <f>Inputs!$D$23*12</f>
        <v>114300</v>
      </c>
      <c r="F20" s="164">
        <f>Inputs!$D$23*12</f>
        <v>114300</v>
      </c>
      <c r="G20" s="163">
        <f t="shared" si="5"/>
        <v>457200</v>
      </c>
    </row>
    <row r="21" spans="2:7" outlineLevel="1" x14ac:dyDescent="0.2">
      <c r="B21" s="45" t="s">
        <v>184</v>
      </c>
      <c r="C21" s="174">
        <f>Inputs!$D$27*12</f>
        <v>80664</v>
      </c>
      <c r="D21" s="163">
        <f>Inputs!$D$27*12</f>
        <v>80664</v>
      </c>
      <c r="E21" s="163">
        <f>Inputs!$D$27*12</f>
        <v>80664</v>
      </c>
      <c r="F21" s="164">
        <f>Inputs!$D$27*12</f>
        <v>80664</v>
      </c>
      <c r="G21" s="163">
        <f t="shared" si="5"/>
        <v>322656</v>
      </c>
    </row>
    <row r="22" spans="2:7" outlineLevel="1" x14ac:dyDescent="0.2">
      <c r="B22" s="45" t="s">
        <v>214</v>
      </c>
      <c r="C22" s="174">
        <f>Inputs!$D$25*12</f>
        <v>38400</v>
      </c>
      <c r="D22" s="163">
        <f>Inputs!$D$25*12</f>
        <v>38400</v>
      </c>
      <c r="E22" s="163">
        <f>Inputs!$D$25*12</f>
        <v>38400</v>
      </c>
      <c r="F22" s="164">
        <f>Inputs!$D$25*12</f>
        <v>38400</v>
      </c>
      <c r="G22" s="163">
        <f t="shared" si="5"/>
        <v>153600</v>
      </c>
    </row>
    <row r="23" spans="2:7" outlineLevel="1" x14ac:dyDescent="0.2">
      <c r="B23" s="46" t="s">
        <v>68</v>
      </c>
      <c r="C23" s="174">
        <f>PMT(0.035/12, 39, -55836)*12</f>
        <v>18200.973963246415</v>
      </c>
      <c r="D23" s="163">
        <f t="shared" ref="D23:F23" si="6">PMT(0.035/12, 39, -55836)*12</f>
        <v>18200.973963246415</v>
      </c>
      <c r="E23" s="163">
        <f t="shared" si="6"/>
        <v>18200.973963246415</v>
      </c>
      <c r="F23" s="164">
        <f t="shared" si="6"/>
        <v>18200.973963246415</v>
      </c>
      <c r="G23" s="163">
        <f t="shared" si="5"/>
        <v>72803.895852985661</v>
      </c>
    </row>
    <row r="24" spans="2:7" outlineLevel="1" x14ac:dyDescent="0.2">
      <c r="B24" s="46" t="s">
        <v>174</v>
      </c>
      <c r="C24" s="174">
        <f>PFS!$F$9*0.1</f>
        <v>190000</v>
      </c>
      <c r="D24" s="163">
        <f>PFS!$F$9*0.1</f>
        <v>190000</v>
      </c>
      <c r="E24" s="163">
        <f>PFS!$F$9*0.1</f>
        <v>190000</v>
      </c>
      <c r="F24" s="164">
        <f>PFS!$F$9*0.1</f>
        <v>190000</v>
      </c>
      <c r="G24" s="163">
        <f t="shared" si="5"/>
        <v>760000</v>
      </c>
    </row>
    <row r="25" spans="2:7" outlineLevel="1" x14ac:dyDescent="0.2">
      <c r="B25" s="46" t="s">
        <v>58</v>
      </c>
      <c r="C25" s="174">
        <v>50000</v>
      </c>
      <c r="D25" s="163">
        <v>50000</v>
      </c>
      <c r="E25" s="163">
        <v>50000</v>
      </c>
      <c r="F25" s="164">
        <v>50000</v>
      </c>
      <c r="G25" s="163">
        <f t="shared" si="5"/>
        <v>200000</v>
      </c>
    </row>
    <row r="26" spans="2:7" outlineLevel="1" x14ac:dyDescent="0.2">
      <c r="B26" s="39" t="s">
        <v>59</v>
      </c>
      <c r="C26" s="173">
        <f>SUM(C18:C25)</f>
        <v>721844.97396324645</v>
      </c>
      <c r="D26" s="169">
        <f>SUM(D18:D25)</f>
        <v>721844.97396324645</v>
      </c>
      <c r="E26" s="169">
        <f>SUM(E18:E25)</f>
        <v>6569489.1523427209</v>
      </c>
      <c r="F26" s="169">
        <f>SUM(F18:F25)</f>
        <v>6569489.1523427209</v>
      </c>
      <c r="G26" s="168">
        <f t="shared" si="5"/>
        <v>14582668.252611935</v>
      </c>
    </row>
    <row r="27" spans="2:7" outlineLevel="1" x14ac:dyDescent="0.2">
      <c r="B27" s="46"/>
      <c r="C27" s="183"/>
      <c r="D27" s="183"/>
      <c r="E27" s="183"/>
      <c r="F27" s="183"/>
      <c r="G27" s="184"/>
    </row>
    <row r="28" spans="2:7" ht="17" thickBot="1" x14ac:dyDescent="0.25">
      <c r="B28" s="178" t="s">
        <v>61</v>
      </c>
      <c r="C28" s="181">
        <f>C15-C26</f>
        <v>16688552.849036753</v>
      </c>
      <c r="D28" s="181">
        <f>D15-D26</f>
        <v>15611620.791536756</v>
      </c>
      <c r="E28" s="181">
        <f>E15-E26</f>
        <v>8687045.0821572766</v>
      </c>
      <c r="F28" s="181">
        <f>F15-F26</f>
        <v>7610113.0246572783</v>
      </c>
      <c r="G28" s="182">
        <f>SUM(C28:F28)</f>
        <v>48597331.747388065</v>
      </c>
    </row>
    <row r="29" spans="2:7" ht="17" thickBot="1" x14ac:dyDescent="0.25">
      <c r="B29" s="178" t="s">
        <v>60</v>
      </c>
      <c r="C29" s="179">
        <f>C15/C26</f>
        <v>24.119303245140372</v>
      </c>
      <c r="D29" s="179">
        <f>D15/D26</f>
        <v>22.627387257158681</v>
      </c>
      <c r="E29" s="179">
        <f>E15/E26</f>
        <v>2.3223319014172392</v>
      </c>
      <c r="F29" s="179">
        <f>F15/F26</f>
        <v>2.1584025558430926</v>
      </c>
      <c r="G29" s="180">
        <f>G15/G26</f>
        <v>4.3325404449685454</v>
      </c>
    </row>
    <row r="30" spans="2:7" x14ac:dyDescent="0.2">
      <c r="B30" s="2"/>
      <c r="C30" s="32"/>
      <c r="D30" s="14"/>
      <c r="G30" s="35"/>
    </row>
    <row r="31" spans="2:7" x14ac:dyDescent="0.2">
      <c r="B31" s="26"/>
      <c r="C31" s="17"/>
      <c r="D31" s="6"/>
      <c r="E31" s="6"/>
      <c r="F31" s="6"/>
      <c r="G31" s="35"/>
    </row>
    <row r="32" spans="2:7" x14ac:dyDescent="0.2">
      <c r="B32" s="26"/>
      <c r="C32" s="17"/>
      <c r="D32" s="6"/>
      <c r="E32" s="6"/>
      <c r="F32" s="6"/>
      <c r="G32" s="35"/>
    </row>
    <row r="33" spans="2:7" x14ac:dyDescent="0.2">
      <c r="B33" s="26"/>
      <c r="C33" s="17"/>
      <c r="D33" s="6"/>
      <c r="E33" s="6"/>
      <c r="F33" s="6"/>
      <c r="G33" s="35"/>
    </row>
    <row r="34" spans="2:7" x14ac:dyDescent="0.2">
      <c r="B34" s="26"/>
      <c r="C34" s="97"/>
      <c r="D34" s="6"/>
      <c r="E34" s="6"/>
      <c r="F34" s="6"/>
      <c r="G34" s="35"/>
    </row>
    <row r="35" spans="2:7" x14ac:dyDescent="0.2">
      <c r="B35" s="26"/>
      <c r="C35" s="17"/>
      <c r="D35" s="6"/>
      <c r="E35" s="6"/>
      <c r="F35" s="6"/>
      <c r="G35" s="35"/>
    </row>
    <row r="36" spans="2:7" x14ac:dyDescent="0.2">
      <c r="B36" s="26"/>
      <c r="D36" s="6"/>
      <c r="E36" s="6"/>
      <c r="F36" s="6"/>
      <c r="G36" s="35"/>
    </row>
    <row r="37" spans="2:7" x14ac:dyDescent="0.2">
      <c r="C37" s="28"/>
      <c r="D37" s="6"/>
      <c r="E37" s="6"/>
      <c r="F37" s="6"/>
      <c r="G37" s="35"/>
    </row>
    <row r="38" spans="2:7" x14ac:dyDescent="0.2">
      <c r="B38" s="6"/>
      <c r="C38" s="6"/>
      <c r="D38" s="6"/>
      <c r="E38" s="6"/>
      <c r="F38" s="6"/>
      <c r="G38" s="35"/>
    </row>
    <row r="39" spans="2:7" x14ac:dyDescent="0.2">
      <c r="B39" s="30"/>
      <c r="C39" s="29"/>
      <c r="D39" s="34"/>
      <c r="E39" s="6"/>
      <c r="F39" s="6"/>
      <c r="G39" s="35"/>
    </row>
    <row r="40" spans="2:7" x14ac:dyDescent="0.2">
      <c r="B40" s="26"/>
      <c r="C40" s="17"/>
      <c r="D40" s="6"/>
      <c r="E40" s="6"/>
      <c r="F40" s="6"/>
      <c r="G40" s="35"/>
    </row>
    <row r="41" spans="2:7" x14ac:dyDescent="0.2">
      <c r="B41" s="26"/>
      <c r="C41" s="17"/>
      <c r="D41" s="6"/>
      <c r="E41" s="6"/>
      <c r="F41" s="6"/>
      <c r="G41" s="35"/>
    </row>
    <row r="42" spans="2:7" x14ac:dyDescent="0.2">
      <c r="B42" s="26"/>
      <c r="C42" s="17"/>
      <c r="D42" s="6"/>
      <c r="E42" s="6"/>
      <c r="F42" s="6"/>
      <c r="G42" s="35"/>
    </row>
    <row r="43" spans="2:7" x14ac:dyDescent="0.2">
      <c r="B43" s="33"/>
      <c r="C43" s="20"/>
      <c r="D43" s="6"/>
      <c r="E43" s="6"/>
      <c r="F43" s="6"/>
      <c r="G43" s="35"/>
    </row>
    <row r="44" spans="2:7" x14ac:dyDescent="0.2">
      <c r="B44" s="27"/>
      <c r="C44" s="31"/>
      <c r="D44" s="20"/>
      <c r="E44" s="6"/>
      <c r="F44" s="6"/>
      <c r="G44" s="35"/>
    </row>
    <row r="45" spans="2:7" x14ac:dyDescent="0.2">
      <c r="B45" s="6"/>
      <c r="C45" s="6"/>
      <c r="G45" s="35"/>
    </row>
    <row r="46" spans="2:7" x14ac:dyDescent="0.2">
      <c r="C46" s="20"/>
    </row>
    <row r="47" spans="2:7" x14ac:dyDescent="0.2">
      <c r="C47" s="24"/>
      <c r="D47" s="24"/>
    </row>
  </sheetData>
  <mergeCells count="2">
    <mergeCell ref="B2:G2"/>
    <mergeCell ref="D3:F3"/>
  </mergeCells>
  <phoneticPr fontId="3" type="noConversion"/>
  <pageMargins left="0.25" right="0.25" top="0.75" bottom="0.75" header="0.3" footer="0.3"/>
  <pageSetup scale="99"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1B6C6-DFD8-E647-9697-4F151FBD70EA}">
  <sheetPr>
    <tabColor theme="6"/>
  </sheetPr>
  <dimension ref="B1:O46"/>
  <sheetViews>
    <sheetView showGridLines="0" zoomScaleNormal="100" workbookViewId="0">
      <selection activeCell="F46" sqref="F46"/>
    </sheetView>
  </sheetViews>
  <sheetFormatPr baseColWidth="10" defaultRowHeight="16" x14ac:dyDescent="0.2"/>
  <cols>
    <col min="1" max="1" width="26.83203125" style="3" customWidth="1"/>
    <col min="2" max="2" width="11" style="3" customWidth="1"/>
    <col min="3" max="7" width="14.83203125" style="3" customWidth="1"/>
    <col min="8" max="8" width="14.83203125" style="4" customWidth="1"/>
    <col min="9" max="9" width="8.33203125" style="3" customWidth="1"/>
    <col min="10" max="10" width="46.6640625" style="3" customWidth="1"/>
    <col min="11" max="11" width="14.83203125" style="3" customWidth="1"/>
    <col min="12" max="12" width="19" style="3" customWidth="1"/>
    <col min="13" max="13" width="14.1640625" style="3" bestFit="1" customWidth="1"/>
    <col min="14" max="15" width="13.6640625" style="3" bestFit="1" customWidth="1"/>
    <col min="16" max="16384" width="10.83203125" style="3"/>
  </cols>
  <sheetData>
    <row r="1" spans="2:12" ht="21" customHeight="1" x14ac:dyDescent="0.2">
      <c r="B1" s="99" t="s">
        <v>168</v>
      </c>
      <c r="C1" s="99"/>
      <c r="D1" s="99"/>
      <c r="E1" s="99"/>
      <c r="F1" s="99"/>
      <c r="G1" s="99"/>
      <c r="H1" s="99"/>
    </row>
    <row r="2" spans="2:12" ht="3" customHeight="1" x14ac:dyDescent="0.2">
      <c r="J2" s="9" t="s">
        <v>38</v>
      </c>
      <c r="K2" s="194">
        <v>10250000</v>
      </c>
    </row>
    <row r="3" spans="2:12" x14ac:dyDescent="0.2">
      <c r="B3" s="10" t="s">
        <v>33</v>
      </c>
      <c r="C3" s="10" t="s">
        <v>3</v>
      </c>
      <c r="D3" s="10" t="s">
        <v>30</v>
      </c>
      <c r="E3" s="10" t="s">
        <v>4</v>
      </c>
      <c r="F3" s="10" t="s">
        <v>5</v>
      </c>
      <c r="G3" s="10" t="s">
        <v>34</v>
      </c>
      <c r="H3" s="10" t="s">
        <v>29</v>
      </c>
      <c r="J3" s="6" t="s">
        <v>20</v>
      </c>
      <c r="K3" s="7">
        <f>rate</f>
        <v>0.13</v>
      </c>
    </row>
    <row r="4" spans="2:12" x14ac:dyDescent="0.2">
      <c r="B4" s="159">
        <v>1</v>
      </c>
      <c r="C4" s="5">
        <v>45627</v>
      </c>
      <c r="D4" s="191">
        <f>Amount</f>
        <v>10250000</v>
      </c>
      <c r="E4" s="191">
        <v>0</v>
      </c>
      <c r="F4" s="191">
        <f>Schedule!$G4-Schedule!$E4</f>
        <v>0</v>
      </c>
      <c r="G4" s="191">
        <v>0</v>
      </c>
      <c r="H4" s="191">
        <f t="shared" ref="H4:H39" si="0">D4-F4</f>
        <v>10250000</v>
      </c>
      <c r="J4" s="6" t="s">
        <v>22</v>
      </c>
      <c r="K4" s="8">
        <f>Term</f>
        <v>36</v>
      </c>
    </row>
    <row r="5" spans="2:12" x14ac:dyDescent="0.2">
      <c r="B5" s="159">
        <f>B4+1</f>
        <v>2</v>
      </c>
      <c r="C5" s="5">
        <f>EDATE(C4, 1)</f>
        <v>45658</v>
      </c>
      <c r="D5" s="192">
        <f t="shared" ref="D5:D39" si="1">H4</f>
        <v>10250000</v>
      </c>
      <c r="E5" s="192">
        <v>0</v>
      </c>
      <c r="F5" s="192">
        <f>Schedule!$G5-Schedule!$E5</f>
        <v>0</v>
      </c>
      <c r="G5" s="192">
        <v>0</v>
      </c>
      <c r="H5" s="192">
        <f t="shared" si="0"/>
        <v>10250000</v>
      </c>
      <c r="J5" s="11" t="s">
        <v>28</v>
      </c>
      <c r="K5" s="195">
        <f>Orig_Fee</f>
        <v>102500</v>
      </c>
    </row>
    <row r="6" spans="2:12" x14ac:dyDescent="0.2">
      <c r="B6" s="159">
        <f t="shared" ref="B6:B23" si="2">B5+1</f>
        <v>3</v>
      </c>
      <c r="C6" s="5">
        <f t="shared" ref="C6:C39" si="3">EDATE(C5, 1)</f>
        <v>45689</v>
      </c>
      <c r="D6" s="192">
        <f t="shared" si="1"/>
        <v>10250000</v>
      </c>
      <c r="E6" s="192">
        <v>0</v>
      </c>
      <c r="F6" s="192">
        <f>Schedule!$G6-Schedule!$E6</f>
        <v>0</v>
      </c>
      <c r="G6" s="192">
        <v>0</v>
      </c>
      <c r="H6" s="192">
        <f t="shared" si="0"/>
        <v>10250000</v>
      </c>
      <c r="J6" s="11" t="s">
        <v>27</v>
      </c>
      <c r="K6" s="195">
        <f>UW_Fee</f>
        <v>307500</v>
      </c>
    </row>
    <row r="7" spans="2:12" x14ac:dyDescent="0.2">
      <c r="B7" s="159">
        <f t="shared" si="2"/>
        <v>4</v>
      </c>
      <c r="C7" s="5">
        <f t="shared" si="3"/>
        <v>45717</v>
      </c>
      <c r="D7" s="192">
        <f t="shared" si="1"/>
        <v>10250000</v>
      </c>
      <c r="E7" s="192">
        <v>0</v>
      </c>
      <c r="F7" s="192">
        <f>Schedule!$G7-Schedule!$E7</f>
        <v>0</v>
      </c>
      <c r="G7" s="192">
        <v>0</v>
      </c>
      <c r="H7" s="192">
        <f t="shared" si="0"/>
        <v>10250000</v>
      </c>
      <c r="J7" s="11" t="s">
        <v>76</v>
      </c>
      <c r="K7" s="195">
        <f>insurance</f>
        <v>190050</v>
      </c>
    </row>
    <row r="8" spans="2:12" x14ac:dyDescent="0.2">
      <c r="B8" s="159">
        <f t="shared" si="2"/>
        <v>5</v>
      </c>
      <c r="C8" s="5">
        <f t="shared" si="3"/>
        <v>45748</v>
      </c>
      <c r="D8" s="192">
        <f t="shared" si="1"/>
        <v>10250000</v>
      </c>
      <c r="E8" s="192">
        <v>0</v>
      </c>
      <c r="F8" s="192">
        <f>Schedule!$G8-Schedule!$E8</f>
        <v>0</v>
      </c>
      <c r="G8" s="192">
        <v>0</v>
      </c>
      <c r="H8" s="192">
        <f t="shared" si="0"/>
        <v>10250000</v>
      </c>
      <c r="J8" s="11" t="s">
        <v>25</v>
      </c>
      <c r="K8" s="195">
        <f>interest_Reserve</f>
        <v>727689</v>
      </c>
    </row>
    <row r="9" spans="2:12" x14ac:dyDescent="0.2">
      <c r="B9" s="159">
        <f t="shared" si="2"/>
        <v>6</v>
      </c>
      <c r="C9" s="5">
        <f t="shared" si="3"/>
        <v>45778</v>
      </c>
      <c r="D9" s="192">
        <f t="shared" si="1"/>
        <v>10250000</v>
      </c>
      <c r="E9" s="192">
        <v>0</v>
      </c>
      <c r="F9" s="192">
        <f>Schedule!$G9-Schedule!$E9</f>
        <v>0</v>
      </c>
      <c r="G9" s="192">
        <v>0</v>
      </c>
      <c r="H9" s="192">
        <f t="shared" si="0"/>
        <v>10250000</v>
      </c>
      <c r="J9" s="11" t="s">
        <v>37</v>
      </c>
      <c r="K9" s="195">
        <f>Cash_Reserve</f>
        <v>1025000</v>
      </c>
    </row>
    <row r="10" spans="2:12" x14ac:dyDescent="0.2">
      <c r="B10" s="159">
        <f t="shared" si="2"/>
        <v>7</v>
      </c>
      <c r="C10" s="5">
        <f t="shared" si="3"/>
        <v>45809</v>
      </c>
      <c r="D10" s="192">
        <f t="shared" si="1"/>
        <v>10250000</v>
      </c>
      <c r="E10" s="192">
        <v>0</v>
      </c>
      <c r="F10" s="192">
        <f>Schedule!$G10-Schedule!$E10</f>
        <v>0</v>
      </c>
      <c r="G10" s="192">
        <v>0</v>
      </c>
      <c r="H10" s="192">
        <f t="shared" si="0"/>
        <v>10250000</v>
      </c>
      <c r="J10" s="89" t="s">
        <v>26</v>
      </c>
      <c r="K10" s="196">
        <f>SUM(K5:K9)</f>
        <v>2352739</v>
      </c>
    </row>
    <row r="11" spans="2:12" x14ac:dyDescent="0.2">
      <c r="B11" s="159">
        <f t="shared" si="2"/>
        <v>8</v>
      </c>
      <c r="C11" s="5">
        <f t="shared" si="3"/>
        <v>45839</v>
      </c>
      <c r="D11" s="192">
        <f t="shared" si="1"/>
        <v>10250000</v>
      </c>
      <c r="E11" s="192">
        <v>0</v>
      </c>
      <c r="F11" s="192">
        <f>Schedule!$G11-Schedule!$E11</f>
        <v>0</v>
      </c>
      <c r="G11" s="192">
        <v>0</v>
      </c>
      <c r="H11" s="192">
        <f t="shared" si="0"/>
        <v>10250000</v>
      </c>
      <c r="J11" s="6" t="s">
        <v>39</v>
      </c>
      <c r="K11" s="195">
        <f>PMT_Mnth</f>
        <v>487303.68153162283</v>
      </c>
    </row>
    <row r="12" spans="2:12" x14ac:dyDescent="0.2">
      <c r="B12" s="159">
        <f t="shared" si="2"/>
        <v>9</v>
      </c>
      <c r="C12" s="5">
        <f t="shared" si="3"/>
        <v>45870</v>
      </c>
      <c r="D12" s="192">
        <f t="shared" si="1"/>
        <v>10250000</v>
      </c>
      <c r="E12" s="192">
        <v>0</v>
      </c>
      <c r="F12" s="192">
        <f>Schedule!$G12-Schedule!$E12</f>
        <v>0</v>
      </c>
      <c r="G12" s="192">
        <v>0</v>
      </c>
      <c r="H12" s="192">
        <f t="shared" si="0"/>
        <v>10250000</v>
      </c>
      <c r="J12" s="6" t="s">
        <v>23</v>
      </c>
      <c r="K12" s="195">
        <f>PMT_Mnth*12</f>
        <v>5847644.1783794742</v>
      </c>
    </row>
    <row r="13" spans="2:12" x14ac:dyDescent="0.2">
      <c r="B13" s="159">
        <f t="shared" si="2"/>
        <v>10</v>
      </c>
      <c r="C13" s="5">
        <f t="shared" si="3"/>
        <v>45901</v>
      </c>
      <c r="D13" s="192">
        <f t="shared" si="1"/>
        <v>10250000</v>
      </c>
      <c r="E13" s="192">
        <v>0</v>
      </c>
      <c r="F13" s="192">
        <f>Schedule!$G13-Schedule!$E13</f>
        <v>0</v>
      </c>
      <c r="G13" s="192">
        <v>0</v>
      </c>
      <c r="H13" s="192">
        <f t="shared" si="0"/>
        <v>10250000</v>
      </c>
      <c r="J13" s="6" t="s">
        <v>24</v>
      </c>
      <c r="K13" s="197">
        <f>DSCR</f>
        <v>4.3325404449685454</v>
      </c>
    </row>
    <row r="14" spans="2:12" x14ac:dyDescent="0.2">
      <c r="B14" s="159">
        <f t="shared" si="2"/>
        <v>11</v>
      </c>
      <c r="C14" s="5">
        <f t="shared" si="3"/>
        <v>45931</v>
      </c>
      <c r="D14" s="192">
        <f t="shared" si="1"/>
        <v>10250000</v>
      </c>
      <c r="E14" s="192">
        <v>0</v>
      </c>
      <c r="F14" s="192">
        <f>Schedule!$G14-Schedule!$E14</f>
        <v>0</v>
      </c>
      <c r="G14" s="192">
        <v>0</v>
      </c>
      <c r="H14" s="192">
        <f t="shared" si="0"/>
        <v>10250000</v>
      </c>
      <c r="K14" s="14"/>
    </row>
    <row r="15" spans="2:12" ht="17" thickBot="1" x14ac:dyDescent="0.25">
      <c r="B15" s="160">
        <f t="shared" si="2"/>
        <v>12</v>
      </c>
      <c r="C15" s="13">
        <f t="shared" si="3"/>
        <v>45962</v>
      </c>
      <c r="D15" s="193">
        <f t="shared" si="1"/>
        <v>10250000</v>
      </c>
      <c r="E15" s="193">
        <v>0</v>
      </c>
      <c r="F15" s="193">
        <f>Schedule!$G15-Schedule!$E15</f>
        <v>0</v>
      </c>
      <c r="G15" s="193">
        <v>0</v>
      </c>
      <c r="H15" s="193">
        <f t="shared" si="0"/>
        <v>10250000</v>
      </c>
      <c r="J15" s="2" t="s">
        <v>177</v>
      </c>
      <c r="K15"/>
    </row>
    <row r="16" spans="2:12" ht="17" thickBot="1" x14ac:dyDescent="0.25">
      <c r="B16" s="159">
        <f t="shared" si="2"/>
        <v>13</v>
      </c>
      <c r="C16" s="5">
        <f t="shared" si="3"/>
        <v>45992</v>
      </c>
      <c r="D16" s="192">
        <f t="shared" si="1"/>
        <v>10250000</v>
      </c>
      <c r="E16" s="192">
        <f t="shared" ref="E16:E39" si="4">D16*(rate/12)</f>
        <v>111041.66666666667</v>
      </c>
      <c r="F16" s="192">
        <f>G16-E16</f>
        <v>376262.01486495615</v>
      </c>
      <c r="G16" s="192">
        <f t="shared" ref="G16:G39" si="5">PMT(rate/12, Term-12, -Amount)</f>
        <v>487303.68153162283</v>
      </c>
      <c r="H16" s="192">
        <f>D16-F16</f>
        <v>9873737.985135043</v>
      </c>
      <c r="J16" s="86" t="s">
        <v>38</v>
      </c>
      <c r="K16" s="198">
        <f>Amount</f>
        <v>10250000</v>
      </c>
      <c r="L16"/>
    </row>
    <row r="17" spans="2:13" x14ac:dyDescent="0.2">
      <c r="B17" s="159">
        <f t="shared" si="2"/>
        <v>14</v>
      </c>
      <c r="C17" s="5">
        <f t="shared" si="3"/>
        <v>46023</v>
      </c>
      <c r="D17" s="192">
        <f t="shared" si="1"/>
        <v>9873737.985135043</v>
      </c>
      <c r="E17" s="192">
        <f t="shared" si="4"/>
        <v>106965.49483896297</v>
      </c>
      <c r="F17" s="192">
        <f t="shared" ref="F17:F39" si="6">G17-E17</f>
        <v>380338.18669265986</v>
      </c>
      <c r="G17" s="192">
        <f t="shared" si="5"/>
        <v>487303.68153162283</v>
      </c>
      <c r="H17" s="192">
        <f t="shared" si="0"/>
        <v>9493399.7984423824</v>
      </c>
      <c r="J17" s="87" t="s">
        <v>0</v>
      </c>
      <c r="K17" s="199">
        <f>-Orig_Fee</f>
        <v>-102500</v>
      </c>
    </row>
    <row r="18" spans="2:13" x14ac:dyDescent="0.2">
      <c r="B18" s="159">
        <f t="shared" si="2"/>
        <v>15</v>
      </c>
      <c r="C18" s="5">
        <f t="shared" si="3"/>
        <v>46054</v>
      </c>
      <c r="D18" s="192">
        <f t="shared" si="1"/>
        <v>9493399.7984423824</v>
      </c>
      <c r="E18" s="192">
        <f t="shared" si="4"/>
        <v>102845.16448312582</v>
      </c>
      <c r="F18" s="192">
        <f t="shared" si="6"/>
        <v>384458.51704849699</v>
      </c>
      <c r="G18" s="192">
        <f t="shared" si="5"/>
        <v>487303.68153162283</v>
      </c>
      <c r="H18" s="192">
        <f t="shared" si="0"/>
        <v>9108941.2813938856</v>
      </c>
      <c r="J18" s="87" t="s">
        <v>1</v>
      </c>
      <c r="K18" s="200">
        <f>-UW_Fee</f>
        <v>-307500</v>
      </c>
    </row>
    <row r="19" spans="2:13" x14ac:dyDescent="0.2">
      <c r="B19" s="159">
        <f t="shared" si="2"/>
        <v>16</v>
      </c>
      <c r="C19" s="5">
        <f t="shared" si="3"/>
        <v>46082</v>
      </c>
      <c r="D19" s="192">
        <f t="shared" si="1"/>
        <v>9108941.2813938856</v>
      </c>
      <c r="E19" s="192">
        <f t="shared" si="4"/>
        <v>98680.19721510043</v>
      </c>
      <c r="F19" s="192">
        <f t="shared" si="6"/>
        <v>388623.48431652237</v>
      </c>
      <c r="G19" s="192">
        <f t="shared" si="5"/>
        <v>487303.68153162283</v>
      </c>
      <c r="H19" s="192">
        <f t="shared" si="0"/>
        <v>8720317.7970773634</v>
      </c>
      <c r="J19" s="88" t="s">
        <v>2</v>
      </c>
      <c r="K19" s="201">
        <v>-22000</v>
      </c>
    </row>
    <row r="20" spans="2:13" x14ac:dyDescent="0.2">
      <c r="B20" s="159">
        <f t="shared" si="2"/>
        <v>17</v>
      </c>
      <c r="C20" s="5">
        <f t="shared" si="3"/>
        <v>46113</v>
      </c>
      <c r="D20" s="192">
        <f t="shared" si="1"/>
        <v>8720317.7970773634</v>
      </c>
      <c r="E20" s="192">
        <f t="shared" si="4"/>
        <v>94470.109468338109</v>
      </c>
      <c r="F20" s="192">
        <f t="shared" si="6"/>
        <v>392833.57206328469</v>
      </c>
      <c r="G20" s="192">
        <f t="shared" si="5"/>
        <v>487303.68153162283</v>
      </c>
      <c r="H20" s="192">
        <f t="shared" si="0"/>
        <v>8327484.2250140784</v>
      </c>
      <c r="J20" s="231" t="s">
        <v>129</v>
      </c>
      <c r="K20" s="232">
        <v>5003600</v>
      </c>
    </row>
    <row r="21" spans="2:13" x14ac:dyDescent="0.2">
      <c r="B21" s="159">
        <f t="shared" si="2"/>
        <v>18</v>
      </c>
      <c r="C21" s="5">
        <f t="shared" si="3"/>
        <v>46143</v>
      </c>
      <c r="D21" s="192">
        <f t="shared" si="1"/>
        <v>8327484.2250140784</v>
      </c>
      <c r="E21" s="192">
        <f t="shared" si="4"/>
        <v>90214.412437652514</v>
      </c>
      <c r="F21" s="192">
        <f t="shared" si="6"/>
        <v>397089.2690939703</v>
      </c>
      <c r="G21" s="192">
        <f t="shared" si="5"/>
        <v>487303.68153162283</v>
      </c>
      <c r="H21" s="192">
        <f t="shared" si="0"/>
        <v>7930394.9559201077</v>
      </c>
      <c r="J21" s="87" t="s">
        <v>127</v>
      </c>
      <c r="K21" s="199">
        <f>-insurance</f>
        <v>-190050</v>
      </c>
    </row>
    <row r="22" spans="2:13" x14ac:dyDescent="0.2">
      <c r="B22" s="159">
        <f t="shared" si="2"/>
        <v>19</v>
      </c>
      <c r="C22" s="5">
        <f t="shared" si="3"/>
        <v>46174</v>
      </c>
      <c r="D22" s="192">
        <f t="shared" si="1"/>
        <v>7930394.9559201077</v>
      </c>
      <c r="E22" s="192">
        <f t="shared" si="4"/>
        <v>85912.612022467831</v>
      </c>
      <c r="F22" s="192">
        <f t="shared" si="6"/>
        <v>401391.069509155</v>
      </c>
      <c r="G22" s="192">
        <f t="shared" si="5"/>
        <v>487303.68153162283</v>
      </c>
      <c r="H22" s="192">
        <f t="shared" si="0"/>
        <v>7529003.8864109525</v>
      </c>
      <c r="J22" s="229" t="s">
        <v>128</v>
      </c>
      <c r="K22" s="230">
        <f>Proceeds+K21</f>
        <v>4813550</v>
      </c>
    </row>
    <row r="23" spans="2:13" x14ac:dyDescent="0.2">
      <c r="B23" s="159">
        <f t="shared" si="2"/>
        <v>20</v>
      </c>
      <c r="C23" s="5">
        <f t="shared" si="3"/>
        <v>46204</v>
      </c>
      <c r="D23" s="192">
        <f t="shared" si="1"/>
        <v>7529003.8864109525</v>
      </c>
      <c r="E23" s="192">
        <f t="shared" si="4"/>
        <v>81564.208769451987</v>
      </c>
      <c r="F23" s="192">
        <f t="shared" si="6"/>
        <v>405739.47276217083</v>
      </c>
      <c r="G23" s="192">
        <f t="shared" si="5"/>
        <v>487303.68153162283</v>
      </c>
      <c r="H23" s="192">
        <f t="shared" si="0"/>
        <v>7123264.4136487814</v>
      </c>
      <c r="L23" s="23"/>
    </row>
    <row r="24" spans="2:13" x14ac:dyDescent="0.2">
      <c r="B24" s="159">
        <f t="shared" ref="B24:B39" si="7">B23+1</f>
        <v>21</v>
      </c>
      <c r="C24" s="5">
        <f t="shared" si="3"/>
        <v>46235</v>
      </c>
      <c r="D24" s="192">
        <f t="shared" si="1"/>
        <v>7123264.4136487814</v>
      </c>
      <c r="E24" s="192">
        <f t="shared" si="4"/>
        <v>77168.697814528467</v>
      </c>
      <c r="F24" s="192">
        <f t="shared" si="6"/>
        <v>410134.98371709435</v>
      </c>
      <c r="G24" s="192">
        <f t="shared" si="5"/>
        <v>487303.68153162283</v>
      </c>
      <c r="H24" s="192">
        <f t="shared" si="0"/>
        <v>6713129.4299316872</v>
      </c>
      <c r="M24" s="12"/>
    </row>
    <row r="25" spans="2:13" x14ac:dyDescent="0.2">
      <c r="B25" s="159">
        <f t="shared" si="7"/>
        <v>22</v>
      </c>
      <c r="C25" s="5">
        <f t="shared" si="3"/>
        <v>46266</v>
      </c>
      <c r="D25" s="192">
        <f t="shared" si="1"/>
        <v>6713129.4299316872</v>
      </c>
      <c r="E25" s="192">
        <f t="shared" si="4"/>
        <v>72725.568824259943</v>
      </c>
      <c r="F25" s="192">
        <f t="shared" si="6"/>
        <v>414578.11270736286</v>
      </c>
      <c r="G25" s="192">
        <f t="shared" si="5"/>
        <v>487303.68153162283</v>
      </c>
      <c r="H25" s="192">
        <f t="shared" si="0"/>
        <v>6298551.3172243247</v>
      </c>
      <c r="M25" s="12"/>
    </row>
    <row r="26" spans="2:13" x14ac:dyDescent="0.2">
      <c r="B26" s="159">
        <f t="shared" si="7"/>
        <v>23</v>
      </c>
      <c r="C26" s="5">
        <f t="shared" si="3"/>
        <v>46296</v>
      </c>
      <c r="D26" s="192">
        <f t="shared" si="1"/>
        <v>6298551.3172243247</v>
      </c>
      <c r="E26" s="192">
        <f t="shared" si="4"/>
        <v>68234.305936596851</v>
      </c>
      <c r="F26" s="192">
        <f t="shared" si="6"/>
        <v>419069.37559502595</v>
      </c>
      <c r="G26" s="192">
        <f t="shared" si="5"/>
        <v>487303.68153162283</v>
      </c>
      <c r="H26" s="192">
        <f t="shared" si="0"/>
        <v>5879481.941629299</v>
      </c>
      <c r="L26" s="23"/>
      <c r="M26" s="12"/>
    </row>
    <row r="27" spans="2:13" x14ac:dyDescent="0.2">
      <c r="B27" s="159">
        <f t="shared" si="7"/>
        <v>24</v>
      </c>
      <c r="C27" s="5">
        <f t="shared" si="3"/>
        <v>46327</v>
      </c>
      <c r="D27" s="192">
        <f t="shared" si="1"/>
        <v>5879481.941629299</v>
      </c>
      <c r="E27" s="192">
        <f t="shared" si="4"/>
        <v>63694.387700984073</v>
      </c>
      <c r="F27" s="192">
        <f t="shared" si="6"/>
        <v>423609.29383063875</v>
      </c>
      <c r="G27" s="192">
        <f t="shared" si="5"/>
        <v>487303.68153162283</v>
      </c>
      <c r="H27" s="192">
        <f t="shared" si="0"/>
        <v>5455872.6477986602</v>
      </c>
      <c r="M27" s="12"/>
    </row>
    <row r="28" spans="2:13" ht="17" x14ac:dyDescent="0.25">
      <c r="B28" s="159">
        <f t="shared" si="7"/>
        <v>25</v>
      </c>
      <c r="C28" s="5">
        <f t="shared" si="3"/>
        <v>46357</v>
      </c>
      <c r="D28" s="192">
        <f t="shared" si="1"/>
        <v>5455872.6477986602</v>
      </c>
      <c r="E28" s="192">
        <f t="shared" si="4"/>
        <v>59105.287017818824</v>
      </c>
      <c r="F28" s="192">
        <f t="shared" si="6"/>
        <v>428198.394513804</v>
      </c>
      <c r="G28" s="192">
        <f t="shared" si="5"/>
        <v>487303.68153162283</v>
      </c>
      <c r="H28" s="192">
        <f t="shared" si="0"/>
        <v>5027674.2532848567</v>
      </c>
      <c r="L28" s="98"/>
      <c r="M28" s="12"/>
    </row>
    <row r="29" spans="2:13" x14ac:dyDescent="0.2">
      <c r="B29" s="159">
        <f t="shared" si="7"/>
        <v>26</v>
      </c>
      <c r="C29" s="5">
        <f t="shared" si="3"/>
        <v>46388</v>
      </c>
      <c r="D29" s="192">
        <f t="shared" si="1"/>
        <v>5027674.2532848567</v>
      </c>
      <c r="E29" s="192">
        <f t="shared" si="4"/>
        <v>54466.471077252616</v>
      </c>
      <c r="F29" s="192">
        <f t="shared" si="6"/>
        <v>432837.21045437024</v>
      </c>
      <c r="G29" s="192">
        <f t="shared" si="5"/>
        <v>487303.68153162283</v>
      </c>
      <c r="H29" s="192">
        <f t="shared" si="0"/>
        <v>4594837.0428304868</v>
      </c>
      <c r="L29" s="12"/>
    </row>
    <row r="30" spans="2:13" x14ac:dyDescent="0.2">
      <c r="B30" s="159">
        <f t="shared" si="7"/>
        <v>27</v>
      </c>
      <c r="C30" s="5">
        <f t="shared" si="3"/>
        <v>46419</v>
      </c>
      <c r="D30" s="192">
        <f t="shared" si="1"/>
        <v>4594837.0428304868</v>
      </c>
      <c r="E30" s="192">
        <f t="shared" si="4"/>
        <v>49777.401297330274</v>
      </c>
      <c r="F30" s="192">
        <f t="shared" si="6"/>
        <v>437526.28023429256</v>
      </c>
      <c r="G30" s="192">
        <f t="shared" si="5"/>
        <v>487303.68153162283</v>
      </c>
      <c r="H30" s="192">
        <f t="shared" si="0"/>
        <v>4157310.7625961942</v>
      </c>
    </row>
    <row r="31" spans="2:13" x14ac:dyDescent="0.2">
      <c r="B31" s="159">
        <f t="shared" si="7"/>
        <v>28</v>
      </c>
      <c r="C31" s="5">
        <f t="shared" si="3"/>
        <v>46447</v>
      </c>
      <c r="D31" s="192">
        <f t="shared" si="1"/>
        <v>4157310.7625961942</v>
      </c>
      <c r="E31" s="192">
        <f t="shared" si="4"/>
        <v>45037.533261458775</v>
      </c>
      <c r="F31" s="192">
        <f t="shared" si="6"/>
        <v>442266.14827016403</v>
      </c>
      <c r="G31" s="192">
        <f t="shared" si="5"/>
        <v>487303.68153162283</v>
      </c>
      <c r="H31" s="192">
        <f t="shared" si="0"/>
        <v>3715044.61432603</v>
      </c>
    </row>
    <row r="32" spans="2:13" x14ac:dyDescent="0.2">
      <c r="B32" s="159">
        <f t="shared" si="7"/>
        <v>29</v>
      </c>
      <c r="C32" s="5">
        <f t="shared" si="3"/>
        <v>46478</v>
      </c>
      <c r="D32" s="192">
        <f t="shared" si="1"/>
        <v>3715044.61432603</v>
      </c>
      <c r="E32" s="192">
        <f t="shared" si="4"/>
        <v>40246.316655198658</v>
      </c>
      <c r="F32" s="192">
        <f t="shared" si="6"/>
        <v>447057.3648764242</v>
      </c>
      <c r="G32" s="192">
        <f t="shared" si="5"/>
        <v>487303.68153162283</v>
      </c>
      <c r="H32" s="192">
        <f t="shared" si="0"/>
        <v>3267987.2494496061</v>
      </c>
    </row>
    <row r="33" spans="2:15" x14ac:dyDescent="0.2">
      <c r="B33" s="159">
        <f t="shared" si="7"/>
        <v>30</v>
      </c>
      <c r="C33" s="5">
        <f t="shared" si="3"/>
        <v>46508</v>
      </c>
      <c r="D33" s="192">
        <f t="shared" si="1"/>
        <v>3267987.2494496061</v>
      </c>
      <c r="E33" s="192">
        <f t="shared" si="4"/>
        <v>35403.195202370734</v>
      </c>
      <c r="F33" s="192">
        <f t="shared" si="6"/>
        <v>451900.48632925207</v>
      </c>
      <c r="G33" s="192">
        <f t="shared" si="5"/>
        <v>487303.68153162283</v>
      </c>
      <c r="H33" s="192">
        <f t="shared" si="0"/>
        <v>2816086.7631203542</v>
      </c>
      <c r="L33" s="24"/>
    </row>
    <row r="34" spans="2:15" ht="20" customHeight="1" x14ac:dyDescent="0.2">
      <c r="B34" s="159">
        <f t="shared" si="7"/>
        <v>31</v>
      </c>
      <c r="C34" s="5">
        <f t="shared" si="3"/>
        <v>46539</v>
      </c>
      <c r="D34" s="192">
        <f t="shared" si="1"/>
        <v>2816086.7631203542</v>
      </c>
      <c r="E34" s="192">
        <f t="shared" si="4"/>
        <v>30507.606600470503</v>
      </c>
      <c r="F34" s="192">
        <f t="shared" si="6"/>
        <v>456796.07493115234</v>
      </c>
      <c r="G34" s="192">
        <f t="shared" si="5"/>
        <v>487303.68153162283</v>
      </c>
      <c r="H34" s="192">
        <f t="shared" si="0"/>
        <v>2359290.688189202</v>
      </c>
    </row>
    <row r="35" spans="2:15" x14ac:dyDescent="0.2">
      <c r="B35" s="159">
        <f t="shared" si="7"/>
        <v>32</v>
      </c>
      <c r="C35" s="5">
        <f t="shared" si="3"/>
        <v>46569</v>
      </c>
      <c r="D35" s="192">
        <f t="shared" si="1"/>
        <v>2359290.688189202</v>
      </c>
      <c r="E35" s="192">
        <f t="shared" si="4"/>
        <v>25558.982455383022</v>
      </c>
      <c r="F35" s="192">
        <f t="shared" si="6"/>
        <v>461744.69907623983</v>
      </c>
      <c r="G35" s="192">
        <f t="shared" si="5"/>
        <v>487303.68153162283</v>
      </c>
      <c r="H35" s="192">
        <f t="shared" si="0"/>
        <v>1897545.989112962</v>
      </c>
    </row>
    <row r="36" spans="2:15" x14ac:dyDescent="0.2">
      <c r="B36" s="159">
        <f t="shared" si="7"/>
        <v>33</v>
      </c>
      <c r="C36" s="5">
        <f t="shared" si="3"/>
        <v>46600</v>
      </c>
      <c r="D36" s="192">
        <f t="shared" si="1"/>
        <v>1897545.989112962</v>
      </c>
      <c r="E36" s="192">
        <f t="shared" si="4"/>
        <v>20556.748215390424</v>
      </c>
      <c r="F36" s="192">
        <f t="shared" si="6"/>
        <v>466746.9333162324</v>
      </c>
      <c r="G36" s="192">
        <f t="shared" si="5"/>
        <v>487303.68153162283</v>
      </c>
      <c r="H36" s="192">
        <f t="shared" si="0"/>
        <v>1430799.0557967296</v>
      </c>
    </row>
    <row r="37" spans="2:15" x14ac:dyDescent="0.2">
      <c r="B37" s="159">
        <f t="shared" si="7"/>
        <v>34</v>
      </c>
      <c r="C37" s="5">
        <f t="shared" si="3"/>
        <v>46631</v>
      </c>
      <c r="D37" s="192">
        <f t="shared" si="1"/>
        <v>1430799.0557967296</v>
      </c>
      <c r="E37" s="192">
        <f t="shared" si="4"/>
        <v>15500.323104464571</v>
      </c>
      <c r="F37" s="192">
        <f t="shared" si="6"/>
        <v>471803.35842715827</v>
      </c>
      <c r="G37" s="192">
        <f t="shared" si="5"/>
        <v>487303.68153162283</v>
      </c>
      <c r="H37" s="192">
        <f t="shared" si="0"/>
        <v>958995.69736957131</v>
      </c>
    </row>
    <row r="38" spans="2:15" x14ac:dyDescent="0.2">
      <c r="B38" s="159">
        <f t="shared" si="7"/>
        <v>35</v>
      </c>
      <c r="C38" s="5">
        <f t="shared" si="3"/>
        <v>46661</v>
      </c>
      <c r="D38" s="192">
        <f t="shared" si="1"/>
        <v>958995.69736957131</v>
      </c>
      <c r="E38" s="192">
        <f t="shared" si="4"/>
        <v>10389.120054837023</v>
      </c>
      <c r="F38" s="192">
        <f t="shared" si="6"/>
        <v>476914.56147678581</v>
      </c>
      <c r="G38" s="192">
        <f t="shared" si="5"/>
        <v>487303.68153162283</v>
      </c>
      <c r="H38" s="192">
        <f t="shared" si="0"/>
        <v>482081.1358927855</v>
      </c>
      <c r="M38" s="14"/>
      <c r="N38" s="14"/>
      <c r="O38" s="14"/>
    </row>
    <row r="39" spans="2:15" x14ac:dyDescent="0.2">
      <c r="B39" s="159">
        <f t="shared" si="7"/>
        <v>36</v>
      </c>
      <c r="C39" s="5">
        <f t="shared" si="3"/>
        <v>46692</v>
      </c>
      <c r="D39" s="191">
        <f t="shared" si="1"/>
        <v>482081.1358927855</v>
      </c>
      <c r="E39" s="191">
        <f t="shared" si="4"/>
        <v>5222.5456388385101</v>
      </c>
      <c r="F39" s="191">
        <f t="shared" si="6"/>
        <v>482081.13589278434</v>
      </c>
      <c r="G39" s="191">
        <f t="shared" si="5"/>
        <v>487303.68153162283</v>
      </c>
      <c r="H39" s="191">
        <f t="shared" si="0"/>
        <v>1.1641532182693481E-9</v>
      </c>
      <c r="N39" s="14"/>
      <c r="O39" s="14"/>
    </row>
    <row r="40" spans="2:15" x14ac:dyDescent="0.2">
      <c r="B40" s="2"/>
      <c r="C40" s="2"/>
      <c r="D40" s="2"/>
      <c r="E40" s="2"/>
      <c r="F40" s="2"/>
      <c r="G40" s="2"/>
      <c r="H40" s="10"/>
      <c r="N40" s="14"/>
      <c r="O40" s="14"/>
    </row>
    <row r="41" spans="2:15" x14ac:dyDescent="0.2">
      <c r="C41" s="101" t="s">
        <v>110</v>
      </c>
      <c r="D41" s="102"/>
      <c r="E41" s="102"/>
      <c r="F41" s="103"/>
    </row>
    <row r="42" spans="2:15" x14ac:dyDescent="0.2">
      <c r="C42" s="113" t="s">
        <v>31</v>
      </c>
      <c r="D42" s="145"/>
      <c r="E42" s="112"/>
      <c r="F42" s="343">
        <f>SUM(G3:G39)</f>
        <v>11695288.35675895</v>
      </c>
      <c r="G42" s="2"/>
    </row>
    <row r="43" spans="2:15" x14ac:dyDescent="0.2">
      <c r="C43" s="340" t="s">
        <v>32</v>
      </c>
      <c r="E43" s="2"/>
      <c r="F43" s="341">
        <f>SUM(F4:F39)</f>
        <v>10249999.999999994</v>
      </c>
      <c r="G43" s="2"/>
    </row>
    <row r="44" spans="2:15" x14ac:dyDescent="0.2">
      <c r="C44" s="340" t="s">
        <v>35</v>
      </c>
      <c r="E44" s="2"/>
      <c r="F44" s="341">
        <f>SUM(E4:E39)</f>
        <v>1445288.3567589498</v>
      </c>
      <c r="G44" s="2"/>
    </row>
    <row r="45" spans="2:15" x14ac:dyDescent="0.2">
      <c r="C45" s="340" t="s">
        <v>36</v>
      </c>
      <c r="F45" s="342">
        <f>interest_Reserve+F42</f>
        <v>12422977.35675895</v>
      </c>
    </row>
    <row r="46" spans="2:15" x14ac:dyDescent="0.2">
      <c r="C46" s="344" t="s">
        <v>136</v>
      </c>
      <c r="D46" s="345"/>
      <c r="E46" s="346"/>
      <c r="F46" s="347">
        <f>F45-Amount</f>
        <v>2172977.3567589503</v>
      </c>
    </row>
  </sheetData>
  <mergeCells count="2">
    <mergeCell ref="B1:H1"/>
    <mergeCell ref="C41:F41"/>
  </mergeCells>
  <conditionalFormatting sqref="B3:H39">
    <cfRule type="expression" dxfId="3" priority="3" stopIfTrue="1">
      <formula>MOD(ROW(), 2)=0</formula>
    </cfRule>
  </conditionalFormatting>
  <pageMargins left="0.7" right="0.7" top="0.75" bottom="0.75" header="0.3" footer="0.3"/>
  <pageSetup orientation="portrait" horizontalDpi="0" verticalDpi="0"/>
  <ignoredErrors>
    <ignoredError sqref="F4:G4 F5:G15 E4:E15 B4:C4" calculatedColumn="1"/>
  </ignoredErrors>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E8700-D42E-F848-AD08-82DECAE06B93}">
  <dimension ref="A2:J28"/>
  <sheetViews>
    <sheetView showGridLines="0" zoomScaleNormal="100" workbookViewId="0">
      <selection activeCell="C16" sqref="C16"/>
    </sheetView>
  </sheetViews>
  <sheetFormatPr baseColWidth="10" defaultRowHeight="16" x14ac:dyDescent="0.2"/>
  <cols>
    <col min="1" max="1" width="26.83203125" style="3" customWidth="1"/>
    <col min="2" max="6" width="27.83203125" style="117" customWidth="1"/>
    <col min="7" max="7" width="32.1640625" style="117" customWidth="1"/>
  </cols>
  <sheetData>
    <row r="2" spans="2:10" ht="21" customHeight="1" x14ac:dyDescent="0.2">
      <c r="B2" s="99" t="s">
        <v>172</v>
      </c>
      <c r="C2" s="99"/>
      <c r="D2" s="99"/>
      <c r="E2" s="99"/>
      <c r="F2" s="99"/>
      <c r="G2" s="99"/>
      <c r="H2" s="3"/>
      <c r="I2" s="3"/>
      <c r="J2" s="3"/>
    </row>
    <row r="3" spans="2:10" x14ac:dyDescent="0.2">
      <c r="B3" s="118" t="s">
        <v>140</v>
      </c>
      <c r="C3" s="119" t="s">
        <v>141</v>
      </c>
      <c r="D3" s="119" t="s">
        <v>142</v>
      </c>
      <c r="E3" s="119" t="s">
        <v>143</v>
      </c>
      <c r="F3" s="119" t="s">
        <v>144</v>
      </c>
      <c r="G3" s="120" t="s">
        <v>145</v>
      </c>
      <c r="H3" s="3"/>
      <c r="I3" s="3"/>
      <c r="J3" s="3"/>
    </row>
    <row r="4" spans="2:10" x14ac:dyDescent="0.2">
      <c r="B4" s="250">
        <v>0.1</v>
      </c>
      <c r="C4" s="259">
        <f>-PMT(tblSensitivity[[#This Row],[Rate \ Term]]/12,12,Amount)*12 -Amount</f>
        <v>563654.12929118052</v>
      </c>
      <c r="D4" s="259">
        <f>-PMT(tblSensitivity[[#This Row],[Rate \ Term]]/12,18, Amount)*18-Amount</f>
        <v>830531.26202105731</v>
      </c>
      <c r="E4" s="259">
        <f>-PMT(tblSensitivity[[#This Row],[Rate \ Term]]/12,24,Amount)*24 -Amount</f>
        <v>1101651.8790290616</v>
      </c>
      <c r="F4" s="259">
        <f>-PMT(tblSensitivity[[#This Row],[Rate \ Term]]/12,30,Amount)*30 -Amount</f>
        <v>1377008.6271355208</v>
      </c>
      <c r="G4" s="260">
        <f>-PMT(tblSensitivity[[#This Row],[Rate \ Term]]/12,36,Amount)*36 -Amount</f>
        <v>1656592.0745260306</v>
      </c>
      <c r="H4" s="3"/>
      <c r="I4" s="3"/>
      <c r="J4" s="3"/>
    </row>
    <row r="5" spans="2:10" x14ac:dyDescent="0.2">
      <c r="B5" s="250">
        <v>0.11</v>
      </c>
      <c r="C5" s="261">
        <f>-PMT(tblSensitivity[[#This Row],[Rate \ Term]]/12,12,Amount)*12 -Amount</f>
        <v>620943.99815729633</v>
      </c>
      <c r="D5" s="261">
        <f>-PMT(tblSensitivity[[#This Row],[Rate \ Term]]/12,18, Amount)*18-Amount</f>
        <v>915671.06883945875</v>
      </c>
      <c r="E5" s="261">
        <f>-PMT(tblSensitivity[[#This Row],[Rate \ Term]]/12,24,Amount)*24 -Amount</f>
        <v>1215528.1963451654</v>
      </c>
      <c r="F5" s="261">
        <f>-PMT(tblSensitivity[[#This Row],[Rate \ Term]]/12,30,Amount)*30 -Amount</f>
        <v>1520504.6368454359</v>
      </c>
      <c r="G5" s="262">
        <f>-PMT(tblSensitivity[[#This Row],[Rate \ Term]]/12,36,Amount)*36 -Amount</f>
        <v>1830586.6161737535</v>
      </c>
      <c r="H5" s="3"/>
      <c r="I5" s="3"/>
      <c r="J5" s="3"/>
    </row>
    <row r="6" spans="2:10" x14ac:dyDescent="0.2">
      <c r="B6" s="250">
        <v>0.12</v>
      </c>
      <c r="C6" s="261">
        <f>-PMT(tblSensitivity[[#This Row],[Rate \ Term]]/12,12,Amount)*12 -Amount</f>
        <v>678401.00743602589</v>
      </c>
      <c r="D6" s="261">
        <f>-PMT(tblSensitivity[[#This Row],[Rate \ Term]]/12,18, Amount)*18-Amount</f>
        <v>1001187.8366830926</v>
      </c>
      <c r="E6" s="263">
        <f>-PMT(tblSensitivity[[#This Row],[Rate \ Term]]/12,24,Amount)*24 -Amount</f>
        <v>1330074.1669231169</v>
      </c>
      <c r="F6" s="261">
        <f>-PMT(tblSensitivity[[#This Row],[Rate \ Term]]/12,30,Amount)*30 -Amount</f>
        <v>1665044.8138729967</v>
      </c>
      <c r="G6" s="262">
        <f>-PMT(tblSensitivity[[#This Row],[Rate \ Term]]/12,36,Amount)*36 -Amount</f>
        <v>2006080.3209420908</v>
      </c>
      <c r="H6" s="3"/>
      <c r="I6" s="3"/>
      <c r="J6" s="3"/>
    </row>
    <row r="7" spans="2:10" x14ac:dyDescent="0.2">
      <c r="B7" s="250">
        <v>0.13</v>
      </c>
      <c r="C7" s="261">
        <f>-PMT(tblSensitivity[[#This Row],[Rate \ Term]]/12,12,Amount)*12 -Amount</f>
        <v>736024.91254512593</v>
      </c>
      <c r="D7" s="262">
        <f>-PMT(tblSensitivity[[#This Row],[Rate \ Term]]/12,18, Amount)*18-Amount</f>
        <v>1087080.9073598124</v>
      </c>
      <c r="E7" s="264">
        <f>-PMT(tblSensitivity[[#This Row],[Rate \ Term]]/12,24,Amount)*24 -Amount</f>
        <v>1445288.3567589484</v>
      </c>
      <c r="F7" s="265">
        <f>-PMT(tblSensitivity[[#This Row],[Rate \ Term]]/12,30,Amount)*30 -Amount</f>
        <v>1810626.3922260702</v>
      </c>
      <c r="G7" s="262">
        <f>-PMT(tblSensitivity[[#This Row],[Rate \ Term]]/12,36,Amount)*36 -Amount</f>
        <v>2183068.2892146651</v>
      </c>
      <c r="H7" s="3"/>
      <c r="I7" s="3"/>
      <c r="J7" s="3"/>
    </row>
    <row r="8" spans="2:10" x14ac:dyDescent="0.2">
      <c r="B8" s="250">
        <v>0.14000000000000001</v>
      </c>
      <c r="C8" s="261">
        <f>-PMT(tblSensitivity[[#This Row],[Rate \ Term]]/12,12,Amount)*12 -Amount</f>
        <v>793815.4662038628</v>
      </c>
      <c r="D8" s="261">
        <f>-PMT(tblSensitivity[[#This Row],[Rate \ Term]]/12,18, Amount)*18-Amount</f>
        <v>1173349.6078475751</v>
      </c>
      <c r="E8" s="266">
        <f>-PMT(tblSensitivity[[#This Row],[Rate \ Term]]/12,24,Amount)*24 -Amount</f>
        <v>1561169.2840234768</v>
      </c>
      <c r="F8" s="261">
        <f>-PMT(tblSensitivity[[#This Row],[Rate \ Term]]/12,30,Amount)*30 -Amount</f>
        <v>1957246.4889839925</v>
      </c>
      <c r="G8" s="262">
        <f>-PMT(tblSensitivity[[#This Row],[Rate \ Term]]/12,36,Amount)*36 -Amount</f>
        <v>2361545.380711453</v>
      </c>
      <c r="H8" s="3"/>
      <c r="I8" s="3"/>
      <c r="J8" s="3"/>
    </row>
    <row r="9" spans="2:10" x14ac:dyDescent="0.2">
      <c r="B9" s="258">
        <v>0.15</v>
      </c>
      <c r="C9" s="259">
        <f>-PMT(tblSensitivity[[#This Row],[Rate \ Term]]/12,12,Amount)*12 -Amount</f>
        <v>851772.41845430247</v>
      </c>
      <c r="D9" s="259">
        <f>-PMT(tblSensitivity[[#This Row],[Rate \ Term]]/12,18, Amount)*18-Amount</f>
        <v>1259993.2504232842</v>
      </c>
      <c r="E9" s="259">
        <f>-PMT(tblSensitivity[[#This Row],[Rate \ Term]]/12,24,Amount)*24 -Amount</f>
        <v>1677715.4195499513</v>
      </c>
      <c r="F9" s="259">
        <f>-PMT(tblSensitivity[[#This Row],[Rate \ Term]]/12,30,Amount)*30 -Amount</f>
        <v>2104902.1057285927</v>
      </c>
      <c r="G9" s="260">
        <f>-PMT(tblSensitivity[[#This Row],[Rate \ Term]]/12,36,Amount)*36 -Amount</f>
        <v>2541506.2180476338</v>
      </c>
      <c r="H9" s="3"/>
      <c r="I9" s="3"/>
      <c r="J9" s="3"/>
    </row>
    <row r="10" spans="2:10" x14ac:dyDescent="0.2">
      <c r="B10" s="62"/>
      <c r="C10" s="62"/>
      <c r="D10" s="62"/>
      <c r="E10" s="62"/>
      <c r="F10" s="62"/>
      <c r="G10" s="62"/>
      <c r="H10" s="3"/>
      <c r="I10" s="3"/>
      <c r="J10" s="3"/>
    </row>
    <row r="11" spans="2:10" ht="16" customHeight="1" x14ac:dyDescent="0.2">
      <c r="B11" s="233" t="s">
        <v>178</v>
      </c>
      <c r="C11" s="233"/>
      <c r="D11" s="233"/>
      <c r="E11" s="233"/>
      <c r="F11" s="233"/>
      <c r="G11" s="233"/>
      <c r="H11" s="3"/>
    </row>
    <row r="12" spans="2:10" x14ac:dyDescent="0.2">
      <c r="B12" s="62"/>
      <c r="C12" s="62"/>
      <c r="D12" s="62"/>
      <c r="E12" s="62"/>
      <c r="F12" s="3"/>
      <c r="G12" s="3"/>
      <c r="H12" s="3"/>
    </row>
    <row r="13" spans="2:10" ht="18" x14ac:dyDescent="0.2">
      <c r="B13" s="99" t="s">
        <v>218</v>
      </c>
      <c r="C13" s="99"/>
      <c r="D13" s="99"/>
      <c r="E13" s="99"/>
      <c r="F13" s="99"/>
      <c r="G13" s="99"/>
      <c r="H13" s="3"/>
    </row>
    <row r="14" spans="2:10" x14ac:dyDescent="0.2">
      <c r="B14" s="247" t="s">
        <v>140</v>
      </c>
      <c r="C14" s="248" t="s">
        <v>141</v>
      </c>
      <c r="D14" s="248" t="s">
        <v>142</v>
      </c>
      <c r="E14" s="248" t="s">
        <v>143</v>
      </c>
      <c r="F14" s="248" t="s">
        <v>144</v>
      </c>
      <c r="G14" s="249" t="s">
        <v>145</v>
      </c>
      <c r="H14" s="3"/>
    </row>
    <row r="15" spans="2:10" x14ac:dyDescent="0.2">
      <c r="B15" s="250">
        <v>0.1</v>
      </c>
      <c r="C15" s="251">
        <f>'Cash Flow'!$F$15/(PMT(tblSensitivityDSCR[[#This Row],[Rate \ Term]]/12, 12, -Amount)*12)</f>
        <v>1.3112683286763724</v>
      </c>
      <c r="D15" s="251">
        <f>'Cash Flow'!$F$15/(PMT(tblSensitivityDSCR[[#This Row],[Rate \ Term]]/12, 18, -Amount)*12)</f>
        <v>1.9195291960776002</v>
      </c>
      <c r="E15" s="252">
        <f>'Cash Flow'!$F$15/(PMT(tblSensitivityDSCR[[#This Row],[Rate \ Term]]/12, 24, -Amount)*12)</f>
        <v>2.4982447185850134</v>
      </c>
      <c r="F15" s="251">
        <f>'Cash Flow'!$F$15/(PMT(tblSensitivityDSCR[[#This Row],[Rate \ Term]]/12, 30, -Amount)*12)</f>
        <v>3.0488500163118366</v>
      </c>
      <c r="G15" s="251">
        <f>'Cash Flow'!$F$15/(PMT(tblSensitivityDSCR[[#This Row],[Rate \ Term]]/12, 36, -Amount)*12)</f>
        <v>3.5727105005983293</v>
      </c>
      <c r="H15" s="3"/>
      <c r="I15" s="3"/>
      <c r="J15" s="3"/>
    </row>
    <row r="16" spans="2:10" x14ac:dyDescent="0.2">
      <c r="B16" s="250">
        <v>0.11</v>
      </c>
      <c r="C16" s="251">
        <f>'Cash Flow'!$F$15/(PMT(tblSensitivityDSCR[[#This Row],[Rate \ Term]]/12, 12, -Amount)*12)</f>
        <v>1.3043579453084795</v>
      </c>
      <c r="D16" s="251">
        <f>'Cash Flow'!$F$15/(PMT(tblSensitivityDSCR[[#This Row],[Rate \ Term]]/12, 18, -Amount)*12)</f>
        <v>1.9048925169269477</v>
      </c>
      <c r="E16" s="252">
        <f>'Cash Flow'!$F$15/(PMT(tblSensitivityDSCR[[#This Row],[Rate \ Term]]/12, 24, -Amount)*12)</f>
        <v>2.4734320014179532</v>
      </c>
      <c r="F16" s="251">
        <f>'Cash Flow'!$F$15/(PMT(tblSensitivityDSCR[[#This Row],[Rate \ Term]]/12, 30, -Amount)*12)</f>
        <v>3.0116810227093662</v>
      </c>
      <c r="G16" s="251">
        <f>'Cash Flow'!$F$15/(PMT(tblSensitivityDSCR[[#This Row],[Rate \ Term]]/12, 36, -Amount)*12)</f>
        <v>3.5212533863254714</v>
      </c>
    </row>
    <row r="17" spans="2:7" ht="17" thickBot="1" x14ac:dyDescent="0.25">
      <c r="B17" s="250">
        <v>0.12</v>
      </c>
      <c r="C17" s="251">
        <f>'Cash Flow'!$F$15/(PMT(tblSensitivityDSCR[[#This Row],[Rate \ Term]]/12, 12, -Amount)*12)</f>
        <v>1.2975001711002143</v>
      </c>
      <c r="D17" s="251">
        <f>'Cash Flow'!$F$15/(PMT(tblSensitivityDSCR[[#This Row],[Rate \ Term]]/12, 18, -Amount)*12)</f>
        <v>1.8904140233223878</v>
      </c>
      <c r="E17" s="253">
        <f>'Cash Flow'!$F$15/(PMT(tblSensitivityDSCR[[#This Row],[Rate \ Term]]/12, 24, -Amount)*12)</f>
        <v>2.4489656927245034</v>
      </c>
      <c r="F17" s="251">
        <f>'Cash Flow'!$F$15/(PMT(tblSensitivityDSCR[[#This Row],[Rate \ Term]]/12, 30, -Amount)*12)</f>
        <v>2.975146631528049</v>
      </c>
      <c r="G17" s="251">
        <f>'Cash Flow'!$F$15/(PMT(tblSensitivityDSCR[[#This Row],[Rate \ Term]]/12, 36, -Amount)*12)</f>
        <v>3.470832877809515</v>
      </c>
    </row>
    <row r="18" spans="2:7" ht="17" thickBot="1" x14ac:dyDescent="0.25">
      <c r="B18" s="250">
        <v>0.13</v>
      </c>
      <c r="C18" s="251">
        <f>'Cash Flow'!$F$15/(PMT(tblSensitivityDSCR[[#This Row],[Rate \ Term]]/12, 12, -Amount)*12)</f>
        <v>1.2906945223479398</v>
      </c>
      <c r="D18" s="254">
        <f>'Cash Flow'!$F$15/(PMT(tblSensitivityDSCR[[#This Row],[Rate \ Term]]/12, 18, -Amount)*12)</f>
        <v>1.8760916887955097</v>
      </c>
      <c r="E18" s="255">
        <f>'Cash Flow'!$F$15/(PMT(tblSensitivityDSCR[[#This Row],[Rate \ Term]]/12, 24, -Amount)*12)</f>
        <v>2.4248401141482443</v>
      </c>
      <c r="F18" s="256">
        <f>'Cash Flow'!$F$15/(PMT(tblSensitivityDSCR[[#This Row],[Rate \ Term]]/12, 30, -Amount)*12)</f>
        <v>2.939234189805382</v>
      </c>
      <c r="G18" s="251">
        <f>'Cash Flow'!$F$15/(PMT(tblSensitivityDSCR[[#This Row],[Rate \ Term]]/12, 36, -Amount)*12)</f>
        <v>3.4214246669827437</v>
      </c>
    </row>
    <row r="19" spans="2:7" x14ac:dyDescent="0.2">
      <c r="B19" s="250">
        <v>0.14000000000000001</v>
      </c>
      <c r="C19" s="251">
        <f>'Cash Flow'!$F$15/(PMT(tblSensitivityDSCR[[#This Row],[Rate \ Term]]/12, 12, -Amount)*12)</f>
        <v>1.283940520410924</v>
      </c>
      <c r="D19" s="251">
        <f>'Cash Flow'!$F$15/(PMT(tblSensitivityDSCR[[#This Row],[Rate \ Term]]/12, 18, -Amount)*12)</f>
        <v>1.861923515926398</v>
      </c>
      <c r="E19" s="257">
        <f>'Cash Flow'!$F$15/(PMT(tblSensitivityDSCR[[#This Row],[Rate \ Term]]/12, 24, -Amount)*12)</f>
        <v>2.4010496905128966</v>
      </c>
      <c r="F19" s="251">
        <f>'Cash Flow'!$F$15/(PMT(tblSensitivityDSCR[[#This Row],[Rate \ Term]]/12, 30, -Amount)*12)</f>
        <v>2.903931322636085</v>
      </c>
      <c r="G19" s="251">
        <f>'Cash Flow'!$F$15/(PMT(tblSensitivityDSCR[[#This Row],[Rate \ Term]]/12, 36, -Amount)*12)</f>
        <v>3.3730050716909257</v>
      </c>
    </row>
    <row r="20" spans="2:7" x14ac:dyDescent="0.2">
      <c r="B20" s="258">
        <v>0.15</v>
      </c>
      <c r="C20" s="251">
        <f>'Cash Flow'!$F$15/(PMT(tblSensitivityDSCR[[#This Row],[Rate \ Term]]/12, 12, -Amount)*12)</f>
        <v>1.2772376916526831</v>
      </c>
      <c r="D20" s="251">
        <f>'Cash Flow'!$F$15/(PMT(tblSensitivityDSCR[[#This Row],[Rate \ Term]]/12, 18, -Amount)*12)</f>
        <v>1.8479075358899806</v>
      </c>
      <c r="E20" s="252">
        <f>'Cash Flow'!$F$15/(PMT(tblSensitivityDSCR[[#This Row],[Rate \ Term]]/12, 24, -Amount)*12)</f>
        <v>2.3775889477978533</v>
      </c>
      <c r="F20" s="251">
        <f>'Cash Flow'!$F$15/(PMT(tblSensitivityDSCR[[#This Row],[Rate \ Term]]/12, 30, -Amount)*12)</f>
        <v>2.8692259266112172</v>
      </c>
      <c r="G20" s="251">
        <f>'Cash Flow'!$F$15/(PMT(tblSensitivityDSCR[[#This Row],[Rate \ Term]]/12, 36, -Amount)*12)</f>
        <v>3.3255510184548607</v>
      </c>
    </row>
    <row r="22" spans="2:7" x14ac:dyDescent="0.2">
      <c r="B22" s="233" t="s">
        <v>179</v>
      </c>
    </row>
    <row r="23" spans="2:7" x14ac:dyDescent="0.2">
      <c r="D23" s="220"/>
      <c r="E23" s="220"/>
      <c r="F23" s="220"/>
    </row>
    <row r="28" spans="2:7" x14ac:dyDescent="0.2">
      <c r="C28" s="221"/>
    </row>
  </sheetData>
  <mergeCells count="2">
    <mergeCell ref="B2:G2"/>
    <mergeCell ref="B13:G13"/>
  </mergeCells>
  <conditionalFormatting sqref="C15:G20">
    <cfRule type="cellIs" dxfId="2" priority="1" operator="between">
      <formula>2.49</formula>
      <formula>2.51</formula>
    </cfRule>
    <cfRule type="cellIs" dxfId="1" priority="2" operator="greaterThan">
      <formula>2.5</formula>
    </cfRule>
    <cfRule type="cellIs" dxfId="0" priority="3" operator="lessThan">
      <formula>2.5</formula>
    </cfRule>
  </conditionalFormatting>
  <pageMargins left="0.7" right="0.7" top="0.75" bottom="0.75" header="0.3" footer="0.3"/>
  <pageSetup orientation="portrait" horizontalDpi="0" verticalDpi="0"/>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0A5A7-09CD-1844-8372-5D7B677A8E09}">
  <sheetPr>
    <tabColor theme="2" tint="-9.9978637043366805E-2"/>
  </sheetPr>
  <dimension ref="A2:I30"/>
  <sheetViews>
    <sheetView showGridLines="0" zoomScaleNormal="100" workbookViewId="0">
      <selection activeCell="G36" sqref="G36"/>
    </sheetView>
  </sheetViews>
  <sheetFormatPr baseColWidth="10" defaultRowHeight="16" x14ac:dyDescent="0.2"/>
  <cols>
    <col min="1" max="1" width="26.83203125" style="3" customWidth="1"/>
    <col min="2" max="2" width="28.83203125" style="29" customWidth="1"/>
    <col min="3" max="3" width="33.5" style="29" customWidth="1"/>
    <col min="4" max="4" width="13" style="29" bestFit="1" customWidth="1"/>
    <col min="5" max="5" width="11" style="29" customWidth="1"/>
    <col min="6" max="6" width="12" style="29" customWidth="1"/>
    <col min="7" max="7" width="14.33203125" style="29" bestFit="1" customWidth="1"/>
    <col min="8" max="9" width="14.5" style="29" customWidth="1"/>
    <col min="10" max="16384" width="10.83203125" style="29"/>
  </cols>
  <sheetData>
    <row r="2" spans="2:8" ht="16" customHeight="1" x14ac:dyDescent="0.2">
      <c r="B2"/>
      <c r="C2" s="128" t="s">
        <v>132</v>
      </c>
      <c r="D2" s="128"/>
    </row>
    <row r="3" spans="2:8" x14ac:dyDescent="0.2">
      <c r="C3" s="318" t="s">
        <v>38</v>
      </c>
      <c r="D3" s="319">
        <v>10250000</v>
      </c>
    </row>
    <row r="4" spans="2:8" x14ac:dyDescent="0.2">
      <c r="C4" s="53" t="s">
        <v>20</v>
      </c>
      <c r="D4" s="310">
        <v>0.13</v>
      </c>
    </row>
    <row r="5" spans="2:8" x14ac:dyDescent="0.2">
      <c r="C5" s="53" t="s">
        <v>22</v>
      </c>
      <c r="D5" s="311">
        <v>36</v>
      </c>
    </row>
    <row r="6" spans="2:8" x14ac:dyDescent="0.2">
      <c r="C6" s="53" t="s">
        <v>28</v>
      </c>
      <c r="D6" s="312">
        <f>0.01*D3</f>
        <v>102500</v>
      </c>
    </row>
    <row r="7" spans="2:8" x14ac:dyDescent="0.2">
      <c r="C7" s="53" t="s">
        <v>27</v>
      </c>
      <c r="D7" s="312">
        <f>D3*0.03</f>
        <v>307500</v>
      </c>
    </row>
    <row r="8" spans="2:8" x14ac:dyDescent="0.2">
      <c r="C8" s="53" t="s">
        <v>76</v>
      </c>
      <c r="D8" s="312">
        <v>190050</v>
      </c>
    </row>
    <row r="9" spans="2:8" x14ac:dyDescent="0.2">
      <c r="C9" s="308" t="s">
        <v>75</v>
      </c>
      <c r="D9" s="313">
        <v>727689</v>
      </c>
    </row>
    <row r="10" spans="2:8" x14ac:dyDescent="0.2">
      <c r="C10" s="308" t="s">
        <v>130</v>
      </c>
      <c r="D10" s="313">
        <f>10%*Amount</f>
        <v>1025000</v>
      </c>
      <c r="F10" s="161"/>
      <c r="G10" s="161"/>
      <c r="H10" s="161"/>
    </row>
    <row r="11" spans="2:8" x14ac:dyDescent="0.2">
      <c r="C11" s="309" t="s">
        <v>26</v>
      </c>
      <c r="D11" s="314">
        <f>SUM(D6:D10)</f>
        <v>2352739</v>
      </c>
      <c r="G11" s="161"/>
    </row>
    <row r="12" spans="2:8" x14ac:dyDescent="0.2">
      <c r="C12" s="45" t="s">
        <v>138</v>
      </c>
      <c r="D12" s="315">
        <f>PMT(rate/12, (Term-12), -Amount)</f>
        <v>487303.68153162283</v>
      </c>
    </row>
    <row r="13" spans="2:8" x14ac:dyDescent="0.2">
      <c r="C13" s="45" t="s">
        <v>23</v>
      </c>
      <c r="D13" s="316">
        <f>PMT_Mnth*12</f>
        <v>5847644.1783794742</v>
      </c>
      <c r="E13" s="77"/>
    </row>
    <row r="14" spans="2:8" x14ac:dyDescent="0.2">
      <c r="C14" s="45" t="s">
        <v>109</v>
      </c>
      <c r="D14" s="189">
        <f>Contract_Y2</f>
        <v>31022727</v>
      </c>
      <c r="F14" s="74"/>
    </row>
    <row r="15" spans="2:8" x14ac:dyDescent="0.2">
      <c r="C15" s="53" t="s">
        <v>112</v>
      </c>
      <c r="D15" s="317">
        <f>D14/12</f>
        <v>2585227.25</v>
      </c>
      <c r="F15" s="158"/>
    </row>
    <row r="16" spans="2:8" x14ac:dyDescent="0.2">
      <c r="C16" s="53" t="s">
        <v>113</v>
      </c>
      <c r="D16" s="317">
        <f>'Cash Flow'!D26/12</f>
        <v>60153.747830270535</v>
      </c>
      <c r="F16" s="158"/>
    </row>
    <row r="17" spans="2:9" x14ac:dyDescent="0.2">
      <c r="C17" s="45" t="s">
        <v>115</v>
      </c>
      <c r="D17" s="315">
        <f>Salary_Remain</f>
        <v>86931818</v>
      </c>
      <c r="G17" s="77"/>
    </row>
    <row r="18" spans="2:9" x14ac:dyDescent="0.2">
      <c r="C18" s="320" t="s">
        <v>106</v>
      </c>
      <c r="D18" s="321">
        <v>680</v>
      </c>
      <c r="F18" s="74"/>
    </row>
    <row r="19" spans="2:9" x14ac:dyDescent="0.2">
      <c r="B19" s="9"/>
      <c r="C19" s="6"/>
      <c r="D19" s="3"/>
      <c r="E19" s="3"/>
      <c r="F19" s="3"/>
      <c r="G19" s="14"/>
      <c r="H19" s="3"/>
      <c r="I19" s="3"/>
    </row>
    <row r="20" spans="2:9" x14ac:dyDescent="0.2">
      <c r="B20" s="30"/>
      <c r="D20" s="3"/>
      <c r="E20" s="3"/>
      <c r="F20" s="3"/>
      <c r="G20" s="3"/>
      <c r="H20" s="3"/>
      <c r="I20" s="3"/>
    </row>
    <row r="21" spans="2:9" x14ac:dyDescent="0.2">
      <c r="B21" s="100" t="s">
        <v>114</v>
      </c>
      <c r="C21" s="100"/>
      <c r="D21" s="100"/>
      <c r="E21" s="100"/>
      <c r="F21" s="100"/>
      <c r="G21" s="100"/>
      <c r="H21" s="100"/>
      <c r="I21" s="92"/>
    </row>
    <row r="22" spans="2:9" x14ac:dyDescent="0.2">
      <c r="B22" s="296" t="s">
        <v>173</v>
      </c>
      <c r="C22" s="297" t="s">
        <v>14</v>
      </c>
      <c r="D22" s="297" t="s">
        <v>15</v>
      </c>
      <c r="E22" s="298" t="s">
        <v>17</v>
      </c>
      <c r="F22" s="297" t="s">
        <v>16</v>
      </c>
      <c r="G22" s="297" t="s">
        <v>5</v>
      </c>
      <c r="H22" s="297" t="s">
        <v>101</v>
      </c>
    </row>
    <row r="23" spans="2:9" x14ac:dyDescent="0.2">
      <c r="B23" s="123" t="s">
        <v>183</v>
      </c>
      <c r="C23" s="205">
        <v>1970000</v>
      </c>
      <c r="D23" s="205">
        <v>9525</v>
      </c>
      <c r="E23" s="93">
        <v>3.95E-2</v>
      </c>
      <c r="F23" s="124">
        <v>55617</v>
      </c>
      <c r="G23" s="205">
        <f>PV(tblProperty15[[#This Row],[Rate]]/12, 360, -tblProperty15[[#This Row],[PMT]])</f>
        <v>2007218.6710853965</v>
      </c>
      <c r="H23" s="94">
        <v>2022</v>
      </c>
    </row>
    <row r="24" spans="2:9" x14ac:dyDescent="0.2">
      <c r="B24" s="123" t="s">
        <v>182</v>
      </c>
      <c r="C24" s="202">
        <v>2863000</v>
      </c>
      <c r="D24" s="203">
        <v>19190</v>
      </c>
      <c r="E24" s="95">
        <v>6.9500000000000006E-2</v>
      </c>
      <c r="F24" s="125">
        <v>56126</v>
      </c>
      <c r="G24" s="203">
        <f>PV(tblProperty15[[#This Row],[Rate]]/12, 360, -tblProperty15[[#This Row],[PMT]])</f>
        <v>2899019.6683236849</v>
      </c>
      <c r="H24" s="126" t="s">
        <v>102</v>
      </c>
    </row>
    <row r="25" spans="2:9" x14ac:dyDescent="0.2">
      <c r="B25" s="123" t="s">
        <v>193</v>
      </c>
      <c r="C25" s="202">
        <v>477000</v>
      </c>
      <c r="D25" s="204">
        <v>3200</v>
      </c>
      <c r="E25" s="95">
        <v>6.9500000000000006E-2</v>
      </c>
      <c r="F25" s="124">
        <v>56084</v>
      </c>
      <c r="G25" s="273">
        <f>PV(E25/12, 360, -tblProperty15[[#This Row],[PMT]])</f>
        <v>483421.72687002562</v>
      </c>
      <c r="H25" s="94">
        <v>2022</v>
      </c>
    </row>
    <row r="26" spans="2:9" x14ac:dyDescent="0.2">
      <c r="B26" s="299" t="s">
        <v>18</v>
      </c>
      <c r="C26" s="300" t="s">
        <v>14</v>
      </c>
      <c r="D26" s="300" t="s">
        <v>15</v>
      </c>
      <c r="E26" s="300" t="s">
        <v>17</v>
      </c>
      <c r="F26" s="300" t="s">
        <v>16</v>
      </c>
      <c r="G26" s="300" t="s">
        <v>5</v>
      </c>
      <c r="H26" s="300" t="s">
        <v>101</v>
      </c>
    </row>
    <row r="27" spans="2:9" x14ac:dyDescent="0.2">
      <c r="B27" s="123" t="s">
        <v>100</v>
      </c>
      <c r="C27" s="205">
        <v>1000000</v>
      </c>
      <c r="D27" s="205">
        <v>6722</v>
      </c>
      <c r="E27" s="96">
        <v>0.08</v>
      </c>
      <c r="F27" s="124">
        <v>55501</v>
      </c>
      <c r="G27" s="205">
        <f>PV(tblProperty15[[#This Row],[Rate]]/12, 360, -tblProperty15[[#This Row],[PMT]])</f>
        <v>916097.64756849909</v>
      </c>
      <c r="H27" s="206" t="s">
        <v>103</v>
      </c>
    </row>
    <row r="28" spans="2:9" x14ac:dyDescent="0.2">
      <c r="B28" s="78"/>
      <c r="C28" s="79"/>
      <c r="D28" s="79"/>
      <c r="E28" s="79"/>
      <c r="F28" s="81"/>
      <c r="G28" s="80"/>
      <c r="H28" s="79"/>
      <c r="I28" s="82"/>
    </row>
    <row r="29" spans="2:9" x14ac:dyDescent="0.2">
      <c r="B29" s="78"/>
      <c r="C29" s="79"/>
      <c r="D29" s="79"/>
      <c r="E29" s="79"/>
      <c r="F29" s="81"/>
      <c r="G29" s="83"/>
      <c r="H29" s="79"/>
      <c r="I29" s="79"/>
    </row>
    <row r="30" spans="2:9" x14ac:dyDescent="0.2">
      <c r="B30" s="18"/>
      <c r="C30" s="21"/>
      <c r="D30" s="21"/>
      <c r="E30" s="21"/>
      <c r="F30" s="22"/>
      <c r="G30" s="18"/>
      <c r="H30" s="19"/>
      <c r="I30" s="19"/>
    </row>
  </sheetData>
  <mergeCells count="2">
    <mergeCell ref="B21:H21"/>
    <mergeCell ref="C2:D2"/>
  </mergeCells>
  <pageMargins left="0.7" right="0.7" top="0.75" bottom="0.75" header="0.3" footer="0.3"/>
  <pageSetup orientation="portrait" horizontalDpi="0" verticalDpi="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329CB-02E5-5B4A-88C0-CCDBCFF5584D}">
  <sheetPr>
    <tabColor theme="2" tint="-9.9978637043366805E-2"/>
  </sheetPr>
  <dimension ref="A2:O40"/>
  <sheetViews>
    <sheetView showGridLines="0" zoomScaleNormal="100" workbookViewId="0">
      <selection activeCell="B2" sqref="B2:F2"/>
    </sheetView>
  </sheetViews>
  <sheetFormatPr baseColWidth="10" defaultRowHeight="16" x14ac:dyDescent="0.2"/>
  <cols>
    <col min="1" max="1" width="26.83203125" style="3" customWidth="1"/>
    <col min="2" max="2" width="33.33203125" customWidth="1"/>
    <col min="3" max="3" width="15.83203125" customWidth="1"/>
    <col min="4" max="4" width="10.33203125" customWidth="1"/>
    <col min="5" max="5" width="33.33203125" customWidth="1"/>
    <col min="6" max="6" width="14.83203125" customWidth="1"/>
    <col min="7" max="7" width="8.1640625" style="66" customWidth="1"/>
  </cols>
  <sheetData>
    <row r="2" spans="2:15" ht="23" customHeight="1" x14ac:dyDescent="0.2">
      <c r="B2" s="122" t="s">
        <v>72</v>
      </c>
      <c r="C2" s="245"/>
      <c r="D2" s="245"/>
      <c r="E2" s="245"/>
      <c r="F2" s="246"/>
      <c r="G2" s="64"/>
    </row>
    <row r="3" spans="2:15" x14ac:dyDescent="0.2">
      <c r="B3" s="322" t="s">
        <v>65</v>
      </c>
      <c r="C3" s="323"/>
      <c r="D3" s="323"/>
      <c r="E3" s="324" t="s">
        <v>104</v>
      </c>
      <c r="F3" s="325"/>
      <c r="G3" s="64"/>
    </row>
    <row r="4" spans="2:15" x14ac:dyDescent="0.2">
      <c r="B4" s="104"/>
      <c r="C4" s="207"/>
      <c r="D4" s="50"/>
      <c r="E4" s="207"/>
      <c r="F4" s="105"/>
      <c r="G4" s="64"/>
    </row>
    <row r="5" spans="2:15" x14ac:dyDescent="0.2">
      <c r="B5" s="211" t="s">
        <v>74</v>
      </c>
      <c r="C5" s="50"/>
      <c r="D5" s="50"/>
      <c r="E5" s="217" t="s">
        <v>199</v>
      </c>
      <c r="F5" s="52"/>
      <c r="G5" s="65"/>
      <c r="H5" s="16"/>
    </row>
    <row r="6" spans="2:15" x14ac:dyDescent="0.2">
      <c r="B6" s="53" t="s">
        <v>99</v>
      </c>
      <c r="C6" s="212">
        <v>2158502</v>
      </c>
      <c r="D6" s="50"/>
      <c r="E6" s="241" t="s">
        <v>70</v>
      </c>
      <c r="F6" s="242">
        <f>Amount</f>
        <v>10250000</v>
      </c>
      <c r="G6" s="65"/>
      <c r="H6" s="16"/>
    </row>
    <row r="7" spans="2:15" x14ac:dyDescent="0.2">
      <c r="B7" s="53" t="s">
        <v>98</v>
      </c>
      <c r="C7" s="185">
        <v>1300000</v>
      </c>
      <c r="D7" s="50"/>
      <c r="E7" s="190"/>
      <c r="F7" s="189"/>
      <c r="G7" s="65"/>
      <c r="H7" s="16"/>
    </row>
    <row r="8" spans="2:15" x14ac:dyDescent="0.2">
      <c r="B8" s="211" t="s">
        <v>185</v>
      </c>
      <c r="C8" s="234">
        <f>SUM(C6:C7)</f>
        <v>3458502</v>
      </c>
      <c r="D8" s="6"/>
      <c r="E8" s="217" t="s">
        <v>197</v>
      </c>
      <c r="F8" s="189"/>
      <c r="G8" s="65"/>
      <c r="H8" s="16"/>
    </row>
    <row r="9" spans="2:15" x14ac:dyDescent="0.2">
      <c r="B9" s="45"/>
      <c r="C9" s="186"/>
      <c r="D9" s="6"/>
      <c r="E9" s="11" t="s">
        <v>206</v>
      </c>
      <c r="F9" s="189">
        <v>1900000</v>
      </c>
      <c r="G9" s="65"/>
      <c r="H9" s="16"/>
    </row>
    <row r="10" spans="2:15" x14ac:dyDescent="0.2">
      <c r="B10" s="211" t="s">
        <v>189</v>
      </c>
      <c r="C10" s="186"/>
      <c r="D10" s="50"/>
      <c r="E10" s="190" t="s">
        <v>73</v>
      </c>
      <c r="F10" s="189">
        <v>92768</v>
      </c>
      <c r="G10" s="65"/>
      <c r="H10" s="16"/>
    </row>
    <row r="11" spans="2:15" x14ac:dyDescent="0.2">
      <c r="B11" s="53" t="s">
        <v>196</v>
      </c>
      <c r="C11" s="185">
        <f>Salary_Remain</f>
        <v>86931818</v>
      </c>
      <c r="D11" s="50"/>
      <c r="E11" s="190" t="s">
        <v>203</v>
      </c>
      <c r="F11" s="189">
        <v>44010</v>
      </c>
      <c r="G11" s="65"/>
      <c r="H11" s="16"/>
    </row>
    <row r="12" spans="2:15" x14ac:dyDescent="0.2">
      <c r="B12" s="53" t="s">
        <v>69</v>
      </c>
      <c r="C12" s="186">
        <v>7165498</v>
      </c>
      <c r="D12" s="50"/>
      <c r="E12" s="217" t="s">
        <v>198</v>
      </c>
      <c r="F12" s="237">
        <f>SUM(F9:F11)</f>
        <v>2036778</v>
      </c>
      <c r="G12" s="65"/>
      <c r="H12" s="16"/>
    </row>
    <row r="13" spans="2:15" x14ac:dyDescent="0.2">
      <c r="B13" s="211" t="s">
        <v>190</v>
      </c>
      <c r="C13" s="234">
        <f>SUM(C11:C12)</f>
        <v>94097316</v>
      </c>
      <c r="D13" s="50"/>
      <c r="E13" s="190"/>
      <c r="F13" s="189"/>
      <c r="G13" s="65"/>
      <c r="H13" s="16"/>
    </row>
    <row r="14" spans="2:15" x14ac:dyDescent="0.2">
      <c r="B14" s="53"/>
      <c r="C14" s="187"/>
      <c r="D14" s="50"/>
      <c r="E14" s="217" t="s">
        <v>71</v>
      </c>
      <c r="F14" s="189"/>
      <c r="G14" s="65"/>
      <c r="H14" s="63"/>
      <c r="O14" s="1"/>
    </row>
    <row r="15" spans="2:15" x14ac:dyDescent="0.2">
      <c r="B15" s="211" t="s">
        <v>66</v>
      </c>
      <c r="C15" s="185"/>
      <c r="D15" s="3"/>
      <c r="E15" s="190" t="s">
        <v>195</v>
      </c>
      <c r="F15" s="189">
        <v>1970000</v>
      </c>
      <c r="G15" s="65"/>
      <c r="H15" s="16"/>
    </row>
    <row r="16" spans="2:15" x14ac:dyDescent="0.2">
      <c r="B16" s="53" t="s">
        <v>195</v>
      </c>
      <c r="C16" s="185">
        <v>2600000</v>
      </c>
      <c r="D16" s="3"/>
      <c r="E16" s="190" t="s">
        <v>194</v>
      </c>
      <c r="F16" s="189">
        <v>2863000</v>
      </c>
      <c r="G16" s="65"/>
      <c r="H16" s="16"/>
    </row>
    <row r="17" spans="2:8" x14ac:dyDescent="0.2">
      <c r="B17" s="53" t="s">
        <v>194</v>
      </c>
      <c r="C17" s="185">
        <v>4100000</v>
      </c>
      <c r="D17" s="50"/>
      <c r="E17" s="190" t="s">
        <v>193</v>
      </c>
      <c r="F17" s="189">
        <v>477000</v>
      </c>
      <c r="G17" s="65"/>
      <c r="H17" s="16"/>
    </row>
    <row r="18" spans="2:8" x14ac:dyDescent="0.2">
      <c r="B18" s="53" t="s">
        <v>193</v>
      </c>
      <c r="C18" s="185">
        <v>638000</v>
      </c>
      <c r="D18" s="50"/>
      <c r="E18" s="190" t="s">
        <v>100</v>
      </c>
      <c r="F18" s="189">
        <v>1000000</v>
      </c>
      <c r="G18" s="65"/>
      <c r="H18" s="16"/>
    </row>
    <row r="19" spans="2:8" x14ac:dyDescent="0.2">
      <c r="B19" s="53" t="s">
        <v>100</v>
      </c>
      <c r="C19" s="185">
        <v>1000000</v>
      </c>
      <c r="D19" s="50"/>
      <c r="E19" s="217" t="s">
        <v>188</v>
      </c>
      <c r="F19" s="237">
        <f>SUM(F15:F18)</f>
        <v>6310000</v>
      </c>
      <c r="G19" s="65"/>
      <c r="H19" s="16"/>
    </row>
    <row r="20" spans="2:8" x14ac:dyDescent="0.2">
      <c r="B20" s="211" t="s">
        <v>186</v>
      </c>
      <c r="C20" s="234">
        <f>SUM(C16:C19)</f>
        <v>8338000</v>
      </c>
      <c r="D20" s="50"/>
      <c r="F20" s="189"/>
      <c r="G20" s="65"/>
      <c r="H20" s="16"/>
    </row>
    <row r="21" spans="2:8" x14ac:dyDescent="0.2">
      <c r="B21" s="54"/>
      <c r="C21" s="185"/>
      <c r="D21" s="50"/>
      <c r="E21" s="217"/>
      <c r="F21" s="189"/>
      <c r="G21" s="64"/>
    </row>
    <row r="22" spans="2:8" x14ac:dyDescent="0.2">
      <c r="B22" s="211" t="s">
        <v>67</v>
      </c>
      <c r="C22" s="185"/>
      <c r="D22" s="50"/>
      <c r="F22" s="189"/>
      <c r="G22" s="64"/>
    </row>
    <row r="23" spans="2:8" x14ac:dyDescent="0.2">
      <c r="B23" s="53" t="s">
        <v>167</v>
      </c>
      <c r="C23" s="186">
        <v>22500</v>
      </c>
      <c r="D23" s="50"/>
      <c r="E23" s="217"/>
      <c r="F23" s="237"/>
      <c r="G23" s="64"/>
    </row>
    <row r="24" spans="2:8" x14ac:dyDescent="0.2">
      <c r="B24" s="211" t="s">
        <v>192</v>
      </c>
      <c r="C24" s="240">
        <f>C23</f>
        <v>22500</v>
      </c>
      <c r="D24" s="50"/>
      <c r="E24" s="6"/>
      <c r="F24" s="189"/>
      <c r="G24" s="64"/>
    </row>
    <row r="25" spans="2:8" x14ac:dyDescent="0.2">
      <c r="B25" s="239"/>
      <c r="D25" s="20"/>
      <c r="E25" s="11"/>
      <c r="F25" s="189"/>
      <c r="G25" s="64"/>
    </row>
    <row r="26" spans="2:8" x14ac:dyDescent="0.2">
      <c r="B26" s="211" t="s">
        <v>191</v>
      </c>
      <c r="C26" s="210"/>
      <c r="D26" s="20"/>
      <c r="E26" s="11"/>
      <c r="F26" s="189"/>
    </row>
    <row r="27" spans="2:8" x14ac:dyDescent="0.2">
      <c r="B27" s="53" t="s">
        <v>205</v>
      </c>
      <c r="C27" s="185">
        <v>3100000</v>
      </c>
      <c r="E27" s="11"/>
      <c r="F27" s="189"/>
    </row>
    <row r="28" spans="2:8" x14ac:dyDescent="0.2">
      <c r="B28" s="53" t="s">
        <v>204</v>
      </c>
      <c r="C28" s="185">
        <v>1800000</v>
      </c>
      <c r="E28" s="11"/>
      <c r="F28" s="189"/>
      <c r="G28"/>
    </row>
    <row r="29" spans="2:8" x14ac:dyDescent="0.2">
      <c r="B29" s="211" t="s">
        <v>187</v>
      </c>
      <c r="C29" s="234">
        <f>SUM(C27:C28)</f>
        <v>4900000</v>
      </c>
      <c r="E29" s="11"/>
      <c r="F29" s="189"/>
      <c r="G29"/>
    </row>
    <row r="30" spans="2:8" ht="17" thickBot="1" x14ac:dyDescent="0.25">
      <c r="B30" s="236"/>
      <c r="C30" s="235"/>
      <c r="D30" s="225"/>
      <c r="E30" s="226"/>
      <c r="F30" s="227"/>
      <c r="G30"/>
    </row>
    <row r="31" spans="2:8" ht="17" thickBot="1" x14ac:dyDescent="0.25">
      <c r="B31" s="222" t="s">
        <v>11</v>
      </c>
      <c r="C31" s="243">
        <f>SUM(C29,C24,C20,C13,C8)</f>
        <v>110816318</v>
      </c>
      <c r="D31" s="224"/>
      <c r="E31" s="224" t="s">
        <v>12</v>
      </c>
      <c r="F31" s="223">
        <f>SUM(F19,F12,F6)</f>
        <v>18596778</v>
      </c>
      <c r="G31"/>
    </row>
    <row r="32" spans="2:8" ht="17" thickBot="1" x14ac:dyDescent="0.25">
      <c r="B32" s="222" t="s">
        <v>13</v>
      </c>
      <c r="C32" s="208"/>
      <c r="D32" s="208"/>
      <c r="E32" s="208"/>
      <c r="F32" s="223">
        <f>Assets-Liabilities</f>
        <v>92219540</v>
      </c>
    </row>
    <row r="33" spans="1:6" x14ac:dyDescent="0.2">
      <c r="A33" s="132"/>
    </row>
    <row r="34" spans="1:6" x14ac:dyDescent="0.2">
      <c r="A34" s="132"/>
      <c r="B34" s="112" t="s">
        <v>200</v>
      </c>
      <c r="C34" s="145"/>
      <c r="D34" s="106"/>
      <c r="E34" s="106"/>
      <c r="F34" s="106"/>
    </row>
    <row r="35" spans="1:6" x14ac:dyDescent="0.2">
      <c r="A35" s="132"/>
      <c r="B35" s="108" t="s">
        <v>202</v>
      </c>
      <c r="C35" s="207"/>
      <c r="D35" s="207"/>
      <c r="E35" s="207"/>
      <c r="F35" s="188">
        <f>Contract_Y2</f>
        <v>31022727</v>
      </c>
    </row>
    <row r="36" spans="1:6" x14ac:dyDescent="0.2">
      <c r="A36" s="132"/>
      <c r="B36" s="108" t="s">
        <v>6</v>
      </c>
      <c r="C36" s="207"/>
      <c r="D36" s="207"/>
      <c r="E36" s="207"/>
      <c r="F36" s="185">
        <v>96000</v>
      </c>
    </row>
    <row r="37" spans="1:6" x14ac:dyDescent="0.2">
      <c r="A37" s="132"/>
      <c r="B37" s="108" t="s">
        <v>7</v>
      </c>
      <c r="C37" s="207"/>
      <c r="D37" s="207"/>
      <c r="E37" s="207"/>
      <c r="F37" s="185">
        <v>120000</v>
      </c>
    </row>
    <row r="38" spans="1:6" x14ac:dyDescent="0.2">
      <c r="B38" s="108" t="s">
        <v>8</v>
      </c>
      <c r="C38" s="207"/>
      <c r="D38" s="207"/>
      <c r="E38" s="207"/>
      <c r="F38" s="185">
        <v>20000</v>
      </c>
    </row>
    <row r="39" spans="1:6" x14ac:dyDescent="0.2">
      <c r="B39" s="107" t="s">
        <v>201</v>
      </c>
      <c r="C39" s="207"/>
      <c r="D39" s="207"/>
      <c r="E39" s="207"/>
      <c r="F39" s="209">
        <f>SUM(F35:F38)</f>
        <v>31258727</v>
      </c>
    </row>
    <row r="40" spans="1:6" x14ac:dyDescent="0.2">
      <c r="B40" s="207"/>
      <c r="C40" s="207"/>
      <c r="D40" s="207"/>
      <c r="E40" s="207"/>
      <c r="F40" s="207"/>
    </row>
  </sheetData>
  <mergeCells count="1">
    <mergeCell ref="B2:F2"/>
  </mergeCells>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58A8-E529-8F4D-BEAA-D198615D7822}">
  <sheetPr>
    <tabColor theme="2" tint="-9.9978637043366805E-2"/>
  </sheetPr>
  <dimension ref="B1:G28"/>
  <sheetViews>
    <sheetView showGridLines="0" zoomScale="91" zoomScaleNormal="100" workbookViewId="0">
      <selection activeCell="I28" sqref="I28"/>
    </sheetView>
  </sheetViews>
  <sheetFormatPr baseColWidth="10" defaultRowHeight="16" x14ac:dyDescent="0.2"/>
  <cols>
    <col min="1" max="1" width="27" style="3" customWidth="1"/>
    <col min="2" max="2" width="17.83203125" style="3" customWidth="1"/>
    <col min="3" max="3" width="21.5" style="3" customWidth="1"/>
    <col min="4" max="5" width="17.83203125" style="3" customWidth="1"/>
    <col min="6" max="6" width="11.1640625" style="3" bestFit="1" customWidth="1"/>
    <col min="7" max="7" width="12.83203125" style="3" bestFit="1" customWidth="1"/>
    <col min="8" max="16384" width="10.83203125" style="3"/>
  </cols>
  <sheetData>
    <row r="1" spans="2:5" x14ac:dyDescent="0.2">
      <c r="C1" s="2"/>
      <c r="E1" s="132"/>
    </row>
    <row r="2" spans="2:5" ht="23" customHeight="1" x14ac:dyDescent="0.2">
      <c r="B2" s="144"/>
      <c r="C2" s="145"/>
      <c r="D2" s="129"/>
      <c r="E2" s="132"/>
    </row>
    <row r="3" spans="2:5" ht="18" x14ac:dyDescent="0.2">
      <c r="B3" s="150" t="s">
        <v>125</v>
      </c>
      <c r="C3" s="151"/>
      <c r="D3" s="152"/>
      <c r="E3" s="153"/>
    </row>
    <row r="4" spans="2:5" ht="16" customHeight="1" x14ac:dyDescent="0.2">
      <c r="B4" s="139" t="s">
        <v>126</v>
      </c>
      <c r="C4" s="140"/>
      <c r="D4" s="141"/>
      <c r="E4" s="154"/>
    </row>
    <row r="5" spans="2:5" x14ac:dyDescent="0.2">
      <c r="B5" s="131"/>
      <c r="C5" s="132"/>
      <c r="D5" s="130"/>
      <c r="E5" s="132"/>
    </row>
    <row r="6" spans="2:5" x14ac:dyDescent="0.2">
      <c r="B6" s="147" t="s">
        <v>116</v>
      </c>
      <c r="C6" s="148" t="s">
        <v>111</v>
      </c>
      <c r="D6" s="130"/>
      <c r="E6" s="132"/>
    </row>
    <row r="7" spans="2:5" x14ac:dyDescent="0.2">
      <c r="B7" s="147" t="s">
        <v>117</v>
      </c>
      <c r="C7" s="148" t="s">
        <v>164</v>
      </c>
      <c r="D7" s="130"/>
      <c r="E7" s="132"/>
    </row>
    <row r="8" spans="2:5" x14ac:dyDescent="0.2">
      <c r="B8" s="147" t="s">
        <v>118</v>
      </c>
      <c r="C8" s="149">
        <v>45080</v>
      </c>
      <c r="D8" s="130"/>
      <c r="E8" s="132"/>
    </row>
    <row r="9" spans="2:5" x14ac:dyDescent="0.2">
      <c r="B9" s="131"/>
      <c r="C9" s="132"/>
      <c r="D9" s="130"/>
      <c r="E9" s="132"/>
    </row>
    <row r="10" spans="2:5" ht="34" x14ac:dyDescent="0.2">
      <c r="B10" s="133" t="s">
        <v>119</v>
      </c>
      <c r="C10" s="134" t="s">
        <v>120</v>
      </c>
      <c r="D10" s="155" t="s">
        <v>210</v>
      </c>
      <c r="E10" s="142"/>
    </row>
    <row r="11" spans="2:5" x14ac:dyDescent="0.2">
      <c r="B11" s="135" t="s">
        <v>121</v>
      </c>
      <c r="C11" s="136">
        <f>Contract_Y1</f>
        <v>33068182</v>
      </c>
      <c r="D11" s="156" t="s">
        <v>19</v>
      </c>
      <c r="E11" s="143"/>
    </row>
    <row r="12" spans="2:5" x14ac:dyDescent="0.2">
      <c r="B12" s="135" t="s">
        <v>122</v>
      </c>
      <c r="C12" s="136">
        <f>Contract_Y2</f>
        <v>31022727</v>
      </c>
      <c r="D12" s="156" t="s">
        <v>19</v>
      </c>
      <c r="E12" s="143"/>
    </row>
    <row r="13" spans="2:5" x14ac:dyDescent="0.2">
      <c r="B13" s="135" t="s">
        <v>123</v>
      </c>
      <c r="C13" s="136">
        <f>Contract_Y3</f>
        <v>28977273</v>
      </c>
      <c r="D13" s="156" t="s">
        <v>19</v>
      </c>
      <c r="E13" s="143"/>
    </row>
    <row r="14" spans="2:5" x14ac:dyDescent="0.2">
      <c r="B14" s="135" t="s">
        <v>124</v>
      </c>
      <c r="C14" s="136">
        <f>Contract_Y4</f>
        <v>26931818</v>
      </c>
      <c r="D14" s="156" t="s">
        <v>19</v>
      </c>
      <c r="E14" s="143"/>
    </row>
    <row r="15" spans="2:5" x14ac:dyDescent="0.2">
      <c r="B15" s="137"/>
      <c r="C15" s="138"/>
      <c r="D15" s="114"/>
      <c r="E15" s="111"/>
    </row>
    <row r="17" spans="2:7" ht="21" customHeight="1" x14ac:dyDescent="0.2">
      <c r="B17" s="327" t="s">
        <v>40</v>
      </c>
      <c r="C17" s="327" t="s">
        <v>41</v>
      </c>
      <c r="D17" s="327" t="s">
        <v>42</v>
      </c>
      <c r="E17" s="327" t="s">
        <v>43</v>
      </c>
    </row>
    <row r="18" spans="2:7" x14ac:dyDescent="0.2">
      <c r="B18" s="25" t="s">
        <v>44</v>
      </c>
      <c r="C18" s="216">
        <v>33068182</v>
      </c>
      <c r="D18" s="215">
        <v>0</v>
      </c>
      <c r="E18" s="216">
        <v>33068182</v>
      </c>
    </row>
    <row r="19" spans="2:7" x14ac:dyDescent="0.2">
      <c r="B19" s="146" t="s">
        <v>45</v>
      </c>
      <c r="C19" s="214">
        <f>Contract_Y1</f>
        <v>33068182</v>
      </c>
      <c r="D19" s="214">
        <v>0</v>
      </c>
      <c r="E19" s="214">
        <f>E18</f>
        <v>33068182</v>
      </c>
      <c r="G19" s="12"/>
    </row>
    <row r="20" spans="2:7" x14ac:dyDescent="0.2">
      <c r="B20" s="25" t="s">
        <v>46</v>
      </c>
      <c r="C20" s="213">
        <v>31022727</v>
      </c>
      <c r="D20" s="213">
        <v>0</v>
      </c>
      <c r="E20" s="213">
        <v>31022727</v>
      </c>
    </row>
    <row r="21" spans="2:7" ht="16" customHeight="1" x14ac:dyDescent="0.2">
      <c r="B21" s="25" t="s">
        <v>47</v>
      </c>
      <c r="C21" s="213">
        <v>28977273</v>
      </c>
      <c r="D21" s="213">
        <v>0</v>
      </c>
      <c r="E21" s="213">
        <v>28977273</v>
      </c>
    </row>
    <row r="22" spans="2:7" ht="16" customHeight="1" x14ac:dyDescent="0.2">
      <c r="B22" s="25" t="s">
        <v>48</v>
      </c>
      <c r="C22" s="213">
        <v>26931818</v>
      </c>
      <c r="D22" s="213">
        <v>0</v>
      </c>
      <c r="E22" s="213">
        <v>26931818</v>
      </c>
    </row>
    <row r="23" spans="2:7" ht="16" customHeight="1" x14ac:dyDescent="0.2">
      <c r="B23" s="326" t="s">
        <v>49</v>
      </c>
      <c r="C23" s="244">
        <f>SUM(C20:C22)</f>
        <v>86931818</v>
      </c>
      <c r="D23" s="244">
        <v>0</v>
      </c>
      <c r="E23" s="244">
        <f>SUM(E20:E22)</f>
        <v>86931818</v>
      </c>
    </row>
    <row r="24" spans="2:7" ht="16" customHeight="1" x14ac:dyDescent="0.2">
      <c r="B24" s="328" t="s">
        <v>50</v>
      </c>
      <c r="C24" s="329">
        <f>C19+Salary_Remain</f>
        <v>120000000</v>
      </c>
      <c r="D24" s="329">
        <v>0</v>
      </c>
      <c r="E24" s="329">
        <f>E19+E23</f>
        <v>120000000</v>
      </c>
    </row>
    <row r="25" spans="2:7" ht="16" customHeight="1" x14ac:dyDescent="0.2"/>
    <row r="26" spans="2:7" ht="16" customHeight="1" x14ac:dyDescent="0.2">
      <c r="C26" s="23"/>
    </row>
    <row r="27" spans="2:7" ht="16" customHeight="1" x14ac:dyDescent="0.2"/>
    <row r="28" spans="2:7" ht="16" customHeight="1" x14ac:dyDescent="0.2">
      <c r="C28" s="23"/>
    </row>
  </sheetData>
  <mergeCells count="2">
    <mergeCell ref="B3:D3"/>
    <mergeCell ref="B4:D4"/>
  </mergeCells>
  <phoneticPr fontId="3" type="noConversion"/>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27</vt:i4>
      </vt:variant>
    </vt:vector>
  </HeadingPairs>
  <TitlesOfParts>
    <vt:vector size="36" baseType="lpstr">
      <vt:lpstr>NBA CONTRACT LOAN</vt:lpstr>
      <vt:lpstr>Summary</vt:lpstr>
      <vt:lpstr>Guidelines</vt:lpstr>
      <vt:lpstr>Cash Flow</vt:lpstr>
      <vt:lpstr>Schedule</vt:lpstr>
      <vt:lpstr>Sensitivity</vt:lpstr>
      <vt:lpstr>Inputs</vt:lpstr>
      <vt:lpstr>PFS</vt:lpstr>
      <vt:lpstr>Contract</vt:lpstr>
      <vt:lpstr>Amount</vt:lpstr>
      <vt:lpstr>Assets</vt:lpstr>
      <vt:lpstr>Cash_Reserve</vt:lpstr>
      <vt:lpstr>Contract_Remain</vt:lpstr>
      <vt:lpstr>Contract_Y1</vt:lpstr>
      <vt:lpstr>Contract_Y2</vt:lpstr>
      <vt:lpstr>Contract_Y3</vt:lpstr>
      <vt:lpstr>Contract_Y4</vt:lpstr>
      <vt:lpstr>Credit_Score</vt:lpstr>
      <vt:lpstr>Debt_mnth</vt:lpstr>
      <vt:lpstr>DSCR</vt:lpstr>
      <vt:lpstr>income_mnth</vt:lpstr>
      <vt:lpstr>insurance</vt:lpstr>
      <vt:lpstr>interest_Reserve</vt:lpstr>
      <vt:lpstr>intrest_Reserve</vt:lpstr>
      <vt:lpstr>LenderReturn</vt:lpstr>
      <vt:lpstr>Liabilities</vt:lpstr>
      <vt:lpstr>Orig_Fee</vt:lpstr>
      <vt:lpstr>PMT_Mnth</vt:lpstr>
      <vt:lpstr>Proceeds</vt:lpstr>
      <vt:lpstr>rate</vt:lpstr>
      <vt:lpstr>Salary_Contract</vt:lpstr>
      <vt:lpstr>Salary_Remain</vt:lpstr>
      <vt:lpstr>Term</vt:lpstr>
      <vt:lpstr>Total_Contract</vt:lpstr>
      <vt:lpstr>Upfront</vt:lpstr>
      <vt:lpstr>UW_Fee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Kristen Gallagher</dc:creator>
  <cp:lastModifiedBy>Kristen Gallagher</cp:lastModifiedBy>
  <cp:lastPrinted>2026-06-03T23:17:43Z</cp:lastPrinted>
  <dcterms:created xsi:type="dcterms:W3CDTF">2026-05-15T03:01:01Z</dcterms:created>
  <dcterms:modified xsi:type="dcterms:W3CDTF">2026-06-04T21:23:45Z</dcterms:modified>
</cp:coreProperties>
</file>